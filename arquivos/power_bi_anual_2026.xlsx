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900c52966f4148/2026/PRODUCAO 2026/00 ANUAL 2026/"/>
    </mc:Choice>
  </mc:AlternateContent>
  <xr:revisionPtr revIDLastSave="0" documentId="8_{D14CFEE6-4822-4033-8723-BCB6212CB1CA}" xr6:coauthVersionLast="47" xr6:coauthVersionMax="47" xr10:uidLastSave="{00000000-0000-0000-0000-000000000000}"/>
  <bookViews>
    <workbookView xWindow="-120" yWindow="-120" windowWidth="24240" windowHeight="13140" xr2:uid="{F5A440F1-D3C8-490B-A3D2-281F71BBF499}"/>
  </bookViews>
  <sheets>
    <sheet name="ANUAL IMPORTADO PRO PBI" sheetId="1" r:id="rId1"/>
  </sheets>
  <externalReferences>
    <externalReference r:id="rId2"/>
  </externalReferences>
  <definedNames>
    <definedName name="ROT_ANOS">'[1]MESES E ANOS'!#REF!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R121" i="1" l="1"/>
  <c r="BQ121" i="1"/>
  <c r="BJ121" i="1"/>
  <c r="BI121" i="1"/>
  <c r="BH121" i="1"/>
  <c r="BG121" i="1"/>
  <c r="BF121" i="1"/>
  <c r="BR120" i="1"/>
  <c r="BQ120" i="1"/>
  <c r="BJ120" i="1"/>
  <c r="BI120" i="1"/>
  <c r="BH120" i="1"/>
  <c r="BG120" i="1"/>
  <c r="BF120" i="1"/>
  <c r="BR119" i="1"/>
  <c r="BQ119" i="1"/>
  <c r="BJ119" i="1"/>
  <c r="BI119" i="1"/>
  <c r="BH119" i="1"/>
  <c r="BG119" i="1"/>
  <c r="BF119" i="1"/>
  <c r="BR118" i="1"/>
  <c r="BQ118" i="1"/>
  <c r="BJ118" i="1"/>
  <c r="BI118" i="1"/>
  <c r="BH118" i="1"/>
  <c r="BG118" i="1"/>
  <c r="BF118" i="1"/>
  <c r="BR117" i="1"/>
  <c r="BQ117" i="1"/>
  <c r="BJ117" i="1"/>
  <c r="BI117" i="1"/>
  <c r="BH117" i="1"/>
  <c r="BG117" i="1"/>
  <c r="BF117" i="1"/>
  <c r="BR116" i="1"/>
  <c r="BQ116" i="1"/>
  <c r="BJ116" i="1"/>
  <c r="BI116" i="1"/>
  <c r="BH116" i="1"/>
  <c r="BG116" i="1"/>
  <c r="BF116" i="1"/>
  <c r="BR115" i="1"/>
  <c r="BQ115" i="1"/>
  <c r="BJ115" i="1"/>
  <c r="BI115" i="1"/>
  <c r="BH115" i="1"/>
  <c r="BG115" i="1"/>
  <c r="BF115" i="1"/>
  <c r="BR114" i="1"/>
  <c r="BQ114" i="1"/>
  <c r="BJ114" i="1"/>
  <c r="BI114" i="1"/>
  <c r="BH114" i="1"/>
  <c r="BG114" i="1"/>
  <c r="BF114" i="1"/>
  <c r="BR113" i="1"/>
  <c r="BQ113" i="1"/>
  <c r="BJ113" i="1"/>
  <c r="BI113" i="1"/>
  <c r="BH113" i="1"/>
  <c r="BG113" i="1"/>
  <c r="BF113" i="1"/>
  <c r="BR112" i="1"/>
  <c r="BQ112" i="1"/>
  <c r="BJ112" i="1"/>
  <c r="BI112" i="1"/>
  <c r="BH112" i="1"/>
  <c r="BG112" i="1"/>
  <c r="BF112" i="1"/>
  <c r="BR111" i="1"/>
  <c r="BQ111" i="1"/>
  <c r="BJ111" i="1"/>
  <c r="BI111" i="1"/>
  <c r="BH111" i="1"/>
  <c r="BG111" i="1"/>
  <c r="BF111" i="1"/>
  <c r="BR110" i="1"/>
  <c r="BQ110" i="1"/>
  <c r="BJ110" i="1"/>
  <c r="BI110" i="1"/>
  <c r="BH110" i="1"/>
  <c r="BG110" i="1"/>
  <c r="BF110" i="1"/>
  <c r="BR109" i="1"/>
  <c r="BQ109" i="1"/>
  <c r="BJ109" i="1"/>
  <c r="BI109" i="1"/>
  <c r="BH109" i="1"/>
  <c r="BG109" i="1"/>
  <c r="BF109" i="1"/>
  <c r="BR108" i="1"/>
  <c r="BQ108" i="1"/>
  <c r="BJ108" i="1"/>
  <c r="BI108" i="1"/>
  <c r="BH108" i="1"/>
  <c r="BG108" i="1"/>
  <c r="BF108" i="1"/>
  <c r="BR107" i="1"/>
  <c r="BQ107" i="1"/>
  <c r="BJ107" i="1"/>
  <c r="BI107" i="1"/>
  <c r="BH107" i="1"/>
  <c r="BG107" i="1"/>
  <c r="BF107" i="1"/>
  <c r="BR106" i="1"/>
  <c r="BQ106" i="1"/>
  <c r="BJ106" i="1"/>
  <c r="BI106" i="1"/>
  <c r="BH106" i="1"/>
  <c r="BG106" i="1"/>
  <c r="BF106" i="1"/>
  <c r="BR105" i="1"/>
  <c r="BQ105" i="1"/>
  <c r="BJ105" i="1"/>
  <c r="BI105" i="1"/>
  <c r="BH105" i="1"/>
  <c r="BG105" i="1"/>
  <c r="BF105" i="1"/>
  <c r="BR104" i="1"/>
  <c r="BQ104" i="1"/>
  <c r="BJ104" i="1"/>
  <c r="BI104" i="1"/>
  <c r="BH104" i="1"/>
  <c r="BG104" i="1"/>
  <c r="BF104" i="1"/>
  <c r="BR103" i="1"/>
  <c r="BQ103" i="1"/>
  <c r="BJ103" i="1"/>
  <c r="BI103" i="1"/>
  <c r="BH103" i="1"/>
  <c r="BG103" i="1"/>
  <c r="BF103" i="1"/>
  <c r="BR102" i="1"/>
  <c r="BQ102" i="1"/>
  <c r="BJ102" i="1"/>
  <c r="BI102" i="1"/>
  <c r="BH102" i="1"/>
  <c r="BG102" i="1"/>
  <c r="BF102" i="1"/>
  <c r="BR101" i="1"/>
  <c r="BQ101" i="1"/>
  <c r="BJ101" i="1"/>
  <c r="BI101" i="1"/>
  <c r="BH101" i="1"/>
  <c r="BG101" i="1"/>
  <c r="BF101" i="1"/>
  <c r="BR100" i="1"/>
  <c r="BQ100" i="1"/>
  <c r="BJ100" i="1"/>
  <c r="BI100" i="1"/>
  <c r="BH100" i="1"/>
  <c r="BG100" i="1"/>
  <c r="BF100" i="1"/>
  <c r="BR99" i="1"/>
  <c r="BQ99" i="1"/>
  <c r="BJ99" i="1"/>
  <c r="BI99" i="1"/>
  <c r="BH99" i="1"/>
  <c r="BG99" i="1"/>
  <c r="BF99" i="1"/>
  <c r="BR98" i="1"/>
  <c r="BQ98" i="1"/>
  <c r="BJ98" i="1"/>
  <c r="BI98" i="1"/>
  <c r="BH98" i="1"/>
  <c r="BG98" i="1"/>
  <c r="BF98" i="1"/>
  <c r="BR97" i="1"/>
  <c r="BQ97" i="1"/>
  <c r="BJ97" i="1"/>
  <c r="BI97" i="1"/>
  <c r="BH97" i="1"/>
  <c r="BG97" i="1"/>
  <c r="BF97" i="1"/>
  <c r="BR96" i="1"/>
  <c r="BQ96" i="1"/>
  <c r="BJ96" i="1"/>
  <c r="BI96" i="1"/>
  <c r="BH96" i="1"/>
  <c r="BG96" i="1"/>
  <c r="BF96" i="1"/>
  <c r="BR95" i="1"/>
  <c r="BQ95" i="1"/>
  <c r="BJ95" i="1"/>
  <c r="BI95" i="1"/>
  <c r="BH95" i="1"/>
  <c r="BG95" i="1"/>
  <c r="BF95" i="1"/>
  <c r="BR94" i="1"/>
  <c r="BQ94" i="1"/>
  <c r="BJ94" i="1"/>
  <c r="BI94" i="1"/>
  <c r="BH94" i="1"/>
  <c r="BG94" i="1"/>
  <c r="BF94" i="1"/>
  <c r="BR93" i="1"/>
  <c r="BQ93" i="1"/>
  <c r="BJ93" i="1"/>
  <c r="BI93" i="1"/>
  <c r="BH93" i="1"/>
  <c r="BG93" i="1"/>
  <c r="BF93" i="1"/>
  <c r="BR92" i="1"/>
  <c r="BQ92" i="1"/>
  <c r="BJ92" i="1"/>
  <c r="BI92" i="1"/>
  <c r="BH92" i="1"/>
  <c r="BG92" i="1"/>
  <c r="BF92" i="1"/>
  <c r="BR91" i="1"/>
  <c r="BQ91" i="1"/>
  <c r="BJ91" i="1"/>
  <c r="BI91" i="1"/>
  <c r="BH91" i="1"/>
  <c r="BG91" i="1"/>
  <c r="BF91" i="1"/>
  <c r="BR90" i="1"/>
  <c r="BQ90" i="1"/>
  <c r="BJ90" i="1"/>
  <c r="BI90" i="1"/>
  <c r="BH90" i="1"/>
  <c r="BG90" i="1"/>
  <c r="BF90" i="1"/>
  <c r="BR89" i="1"/>
  <c r="BQ89" i="1"/>
  <c r="BJ89" i="1"/>
  <c r="BI89" i="1"/>
  <c r="BH89" i="1"/>
  <c r="BG89" i="1"/>
  <c r="BF89" i="1"/>
  <c r="BR88" i="1"/>
  <c r="BQ88" i="1"/>
  <c r="BJ88" i="1"/>
  <c r="BI88" i="1"/>
  <c r="BH88" i="1"/>
  <c r="BG88" i="1"/>
  <c r="BF88" i="1"/>
  <c r="BR87" i="1"/>
  <c r="BQ87" i="1"/>
  <c r="BJ87" i="1"/>
  <c r="BI87" i="1"/>
  <c r="BH87" i="1"/>
  <c r="BG87" i="1"/>
  <c r="BF87" i="1"/>
  <c r="BR86" i="1"/>
  <c r="BQ86" i="1"/>
  <c r="BJ86" i="1"/>
  <c r="BI86" i="1"/>
  <c r="BH86" i="1"/>
  <c r="BG86" i="1"/>
  <c r="BF86" i="1"/>
  <c r="BR85" i="1"/>
  <c r="BQ85" i="1"/>
  <c r="BJ85" i="1"/>
  <c r="BI85" i="1"/>
  <c r="BH85" i="1"/>
  <c r="BG85" i="1"/>
  <c r="BF85" i="1"/>
  <c r="BR84" i="1"/>
  <c r="BQ84" i="1"/>
  <c r="BJ84" i="1"/>
  <c r="BI84" i="1"/>
  <c r="BH84" i="1"/>
  <c r="BG84" i="1"/>
  <c r="BF84" i="1"/>
  <c r="BR83" i="1"/>
  <c r="BQ83" i="1"/>
  <c r="BJ83" i="1"/>
  <c r="BI83" i="1"/>
  <c r="BH83" i="1"/>
  <c r="BG83" i="1"/>
  <c r="BF83" i="1"/>
  <c r="BR82" i="1"/>
  <c r="BQ82" i="1"/>
  <c r="BJ82" i="1"/>
  <c r="BI82" i="1"/>
  <c r="BH82" i="1"/>
  <c r="BG82" i="1"/>
  <c r="BF82" i="1"/>
  <c r="BR81" i="1"/>
  <c r="BQ81" i="1"/>
  <c r="BJ81" i="1"/>
  <c r="BI81" i="1"/>
  <c r="BH81" i="1"/>
  <c r="BG81" i="1"/>
  <c r="BF81" i="1"/>
  <c r="BR80" i="1"/>
  <c r="BQ80" i="1"/>
  <c r="BJ80" i="1"/>
  <c r="BI80" i="1"/>
  <c r="BH80" i="1"/>
  <c r="BG80" i="1"/>
  <c r="BF80" i="1"/>
  <c r="BR79" i="1"/>
  <c r="BQ79" i="1"/>
  <c r="BJ79" i="1"/>
  <c r="BI79" i="1"/>
  <c r="BH79" i="1"/>
  <c r="BG79" i="1"/>
  <c r="BF79" i="1"/>
  <c r="BR78" i="1"/>
  <c r="BQ78" i="1"/>
  <c r="BJ78" i="1"/>
  <c r="BI78" i="1"/>
  <c r="BH78" i="1"/>
  <c r="BG78" i="1"/>
  <c r="BF78" i="1"/>
  <c r="BR77" i="1"/>
  <c r="BQ77" i="1"/>
  <c r="BJ77" i="1"/>
  <c r="BI77" i="1"/>
  <c r="BH77" i="1"/>
  <c r="BG77" i="1"/>
  <c r="BF77" i="1"/>
  <c r="BR76" i="1"/>
  <c r="BQ76" i="1"/>
  <c r="BJ76" i="1"/>
  <c r="BI76" i="1"/>
  <c r="BH76" i="1"/>
  <c r="BG76" i="1"/>
  <c r="BF76" i="1"/>
  <c r="BR75" i="1"/>
  <c r="BQ75" i="1"/>
  <c r="BJ75" i="1"/>
  <c r="BI75" i="1"/>
  <c r="BH75" i="1"/>
  <c r="BG75" i="1"/>
  <c r="BF75" i="1"/>
  <c r="BR74" i="1"/>
  <c r="BQ74" i="1"/>
  <c r="BJ74" i="1"/>
  <c r="BI74" i="1"/>
  <c r="BH74" i="1"/>
  <c r="BG74" i="1"/>
  <c r="BF74" i="1"/>
  <c r="BR73" i="1"/>
  <c r="BQ73" i="1"/>
  <c r="BJ73" i="1"/>
  <c r="BI73" i="1"/>
  <c r="BH73" i="1"/>
  <c r="BG73" i="1"/>
  <c r="BF73" i="1"/>
  <c r="AU73" i="1"/>
  <c r="BR72" i="1"/>
  <c r="BQ72" i="1"/>
  <c r="BJ72" i="1"/>
  <c r="BI72" i="1"/>
  <c r="BH72" i="1"/>
  <c r="BG72" i="1"/>
  <c r="BF72" i="1"/>
  <c r="AU72" i="1"/>
  <c r="BR71" i="1"/>
  <c r="BQ71" i="1"/>
  <c r="BJ71" i="1"/>
  <c r="BI71" i="1"/>
  <c r="BH71" i="1"/>
  <c r="BG71" i="1"/>
  <c r="BF71" i="1"/>
  <c r="AU71" i="1"/>
  <c r="BR70" i="1"/>
  <c r="BQ70" i="1"/>
  <c r="BJ70" i="1"/>
  <c r="BI70" i="1"/>
  <c r="BH70" i="1"/>
  <c r="BG70" i="1"/>
  <c r="BF70" i="1"/>
  <c r="AU70" i="1"/>
  <c r="BR69" i="1"/>
  <c r="BQ69" i="1"/>
  <c r="BJ69" i="1"/>
  <c r="BI69" i="1"/>
  <c r="BH69" i="1"/>
  <c r="BG69" i="1"/>
  <c r="BF69" i="1"/>
  <c r="AU69" i="1"/>
  <c r="BR68" i="1"/>
  <c r="BQ68" i="1"/>
  <c r="BJ68" i="1"/>
  <c r="BI68" i="1"/>
  <c r="BH68" i="1"/>
  <c r="BG68" i="1"/>
  <c r="BF68" i="1"/>
  <c r="AU68" i="1"/>
  <c r="BR67" i="1"/>
  <c r="BQ67" i="1"/>
  <c r="BJ67" i="1"/>
  <c r="BI67" i="1"/>
  <c r="BH67" i="1"/>
  <c r="BG67" i="1"/>
  <c r="BF67" i="1"/>
  <c r="AU67" i="1"/>
  <c r="BR66" i="1"/>
  <c r="BQ66" i="1"/>
  <c r="BJ66" i="1"/>
  <c r="BI66" i="1"/>
  <c r="BH66" i="1"/>
  <c r="BG66" i="1"/>
  <c r="BF66" i="1"/>
  <c r="AU66" i="1"/>
  <c r="BR65" i="1"/>
  <c r="BQ65" i="1"/>
  <c r="BJ65" i="1"/>
  <c r="BI65" i="1"/>
  <c r="BH65" i="1"/>
  <c r="BG65" i="1"/>
  <c r="BF65" i="1"/>
  <c r="AU65" i="1"/>
  <c r="BR64" i="1"/>
  <c r="BQ64" i="1"/>
  <c r="BJ64" i="1"/>
  <c r="BI64" i="1"/>
  <c r="BH64" i="1"/>
  <c r="BG64" i="1"/>
  <c r="BF64" i="1"/>
  <c r="AU64" i="1"/>
  <c r="BR63" i="1"/>
  <c r="BQ63" i="1"/>
  <c r="BJ63" i="1"/>
  <c r="BI63" i="1"/>
  <c r="BH63" i="1"/>
  <c r="BG63" i="1"/>
  <c r="BF63" i="1"/>
  <c r="AU63" i="1"/>
  <c r="BR62" i="1"/>
  <c r="BQ62" i="1"/>
  <c r="BJ62" i="1"/>
  <c r="BI62" i="1"/>
  <c r="BH62" i="1"/>
  <c r="BG62" i="1"/>
  <c r="BF62" i="1"/>
  <c r="AU62" i="1"/>
  <c r="BR61" i="1"/>
  <c r="BQ61" i="1"/>
  <c r="BJ61" i="1"/>
  <c r="BI61" i="1"/>
  <c r="BH61" i="1"/>
  <c r="BG61" i="1"/>
  <c r="BF61" i="1"/>
  <c r="AU61" i="1"/>
  <c r="BR60" i="1"/>
  <c r="BQ60" i="1"/>
  <c r="BJ60" i="1"/>
  <c r="BI60" i="1"/>
  <c r="BH60" i="1"/>
  <c r="BG60" i="1"/>
  <c r="BF60" i="1"/>
  <c r="AU60" i="1"/>
  <c r="BR59" i="1"/>
  <c r="BQ59" i="1"/>
  <c r="BJ59" i="1"/>
  <c r="BI59" i="1"/>
  <c r="BH59" i="1"/>
  <c r="BG59" i="1"/>
  <c r="BF59" i="1"/>
  <c r="AU59" i="1"/>
  <c r="BR58" i="1"/>
  <c r="BQ58" i="1"/>
  <c r="BJ58" i="1"/>
  <c r="BI58" i="1"/>
  <c r="BH58" i="1"/>
  <c r="BG58" i="1"/>
  <c r="BF58" i="1"/>
  <c r="AU58" i="1"/>
  <c r="BR57" i="1"/>
  <c r="BQ57" i="1"/>
  <c r="BJ57" i="1"/>
  <c r="BI57" i="1"/>
  <c r="BH57" i="1"/>
  <c r="BG57" i="1"/>
  <c r="BF57" i="1"/>
  <c r="AU57" i="1"/>
  <c r="BR56" i="1"/>
  <c r="BQ56" i="1"/>
  <c r="BJ56" i="1"/>
  <c r="BI56" i="1"/>
  <c r="BH56" i="1"/>
  <c r="BG56" i="1"/>
  <c r="BF56" i="1"/>
  <c r="AU56" i="1"/>
  <c r="BR55" i="1"/>
  <c r="BQ55" i="1"/>
  <c r="BJ55" i="1"/>
  <c r="BI55" i="1"/>
  <c r="BH55" i="1"/>
  <c r="BG55" i="1"/>
  <c r="BF55" i="1"/>
  <c r="BR54" i="1"/>
  <c r="BQ54" i="1"/>
  <c r="BJ54" i="1"/>
  <c r="BI54" i="1"/>
  <c r="BH54" i="1"/>
  <c r="BG54" i="1"/>
  <c r="BF54" i="1"/>
  <c r="BR53" i="1"/>
  <c r="BQ53" i="1"/>
  <c r="BJ53" i="1"/>
  <c r="BI53" i="1"/>
  <c r="BH53" i="1"/>
  <c r="BG53" i="1"/>
  <c r="BF53" i="1"/>
  <c r="BR52" i="1"/>
  <c r="BQ52" i="1"/>
  <c r="BJ52" i="1"/>
  <c r="BI52" i="1"/>
  <c r="BH52" i="1"/>
  <c r="BG52" i="1"/>
  <c r="BF52" i="1"/>
  <c r="BR51" i="1"/>
  <c r="BQ51" i="1"/>
  <c r="BJ51" i="1"/>
  <c r="BI51" i="1"/>
  <c r="BH51" i="1"/>
  <c r="BG51" i="1"/>
  <c r="BF51" i="1"/>
  <c r="BR50" i="1"/>
  <c r="BQ50" i="1"/>
  <c r="BJ50" i="1"/>
  <c r="BI50" i="1"/>
  <c r="BH50" i="1"/>
  <c r="BG50" i="1"/>
  <c r="BF50" i="1"/>
  <c r="BJ49" i="1"/>
  <c r="BI49" i="1"/>
  <c r="BH49" i="1"/>
  <c r="BG49" i="1"/>
  <c r="BF49" i="1"/>
  <c r="BM49" i="1" s="1"/>
  <c r="BJ48" i="1"/>
  <c r="BI48" i="1"/>
  <c r="BH48" i="1"/>
  <c r="BG48" i="1"/>
  <c r="BF48" i="1"/>
  <c r="BM48" i="1" s="1"/>
  <c r="BJ47" i="1"/>
  <c r="BI47" i="1"/>
  <c r="BH47" i="1"/>
  <c r="BG47" i="1"/>
  <c r="BF47" i="1"/>
  <c r="BJ46" i="1"/>
  <c r="BI46" i="1"/>
  <c r="BH46" i="1"/>
  <c r="BG46" i="1"/>
  <c r="BF46" i="1"/>
  <c r="BJ45" i="1"/>
  <c r="BJ44" i="1"/>
</calcChain>
</file>

<file path=xl/sharedStrings.xml><?xml version="1.0" encoding="utf-8"?>
<sst xmlns="http://schemas.openxmlformats.org/spreadsheetml/2006/main" count="315" uniqueCount="97">
  <si>
    <t>DATA</t>
  </si>
  <si>
    <t>mes_abrev</t>
  </si>
  <si>
    <t>quadrimestre</t>
  </si>
  <si>
    <t>ano</t>
  </si>
  <si>
    <t>idade.0_13</t>
  </si>
  <si>
    <t>idade.14_21</t>
  </si>
  <si>
    <t>idade.22_59</t>
  </si>
  <si>
    <t>idade.60_idoso</t>
  </si>
  <si>
    <t>sexo.feminino</t>
  </si>
  <si>
    <t>sexo.masculino</t>
  </si>
  <si>
    <t>CRISE_HIPERTENSIVA</t>
  </si>
  <si>
    <t>COM_CARTAO_SUS</t>
  </si>
  <si>
    <t>SEM_CARTAO_SUS</t>
  </si>
  <si>
    <t>COM_CLASSIFICACAO</t>
  </si>
  <si>
    <t>SEM_CLASSIFICACAO</t>
  </si>
  <si>
    <t>PA</t>
  </si>
  <si>
    <t>PULSOFC</t>
  </si>
  <si>
    <t>FR</t>
  </si>
  <si>
    <t>INALACAO</t>
  </si>
  <si>
    <t>GLICEMIA</t>
  </si>
  <si>
    <t>TEMPERATURA</t>
  </si>
  <si>
    <t>PESO</t>
  </si>
  <si>
    <t>SURTO_PSICOTICO</t>
  </si>
  <si>
    <t>HEMOPA</t>
  </si>
  <si>
    <t>SUSIPE</t>
  </si>
  <si>
    <t>MEDICAMENTOS</t>
  </si>
  <si>
    <t>CONSULTA_MEDICO</t>
  </si>
  <si>
    <t>CONSULTA_ENFERMEIRO</t>
  </si>
  <si>
    <t>CONSULTA_SERVICO_SOCIAL</t>
  </si>
  <si>
    <t>ACIDTRANSITO.MOTO_X_CARRO</t>
  </si>
  <si>
    <t>ACIDTRANSITO.MOTO_X_MOTO</t>
  </si>
  <si>
    <t>ACIDTRANSITO.MOTO_X_VEICULO_GRANDE</t>
  </si>
  <si>
    <t>ACIDTRANSITO.MOTO_-_QUEDA</t>
  </si>
  <si>
    <t>ACIDTRANSITO.MOTO_-_OUTROS</t>
  </si>
  <si>
    <t>ACIDTRANSITO.VEICULO_GRANDE</t>
  </si>
  <si>
    <t>ACIDTRANSITO.CARRO_-_CAPOTAMENTO</t>
  </si>
  <si>
    <t>ACIDTRANSITO.CARRO_X_CARRO</t>
  </si>
  <si>
    <t>ACIDTRANSITO.CARRO_X_VEICULO_GRANDE</t>
  </si>
  <si>
    <t>ACIDTRANSITO.CARRO_OUTROS</t>
  </si>
  <si>
    <t>ACIDTRANSITO.ATROPELAMENTO</t>
  </si>
  <si>
    <t>QUEDA.BICICLETA</t>
  </si>
  <si>
    <t>AGRESSAO.FAB</t>
  </si>
  <si>
    <t>AGRESSAO.FAF</t>
  </si>
  <si>
    <t>ACID.TRABALHO</t>
  </si>
  <si>
    <t>GESTANTE</t>
  </si>
  <si>
    <t>AGRESSAO.FISICA</t>
  </si>
  <si>
    <t>TRAUMA</t>
  </si>
  <si>
    <t>QUEDA.PROPRIA_ALTURA</t>
  </si>
  <si>
    <t>QUEDA._1m</t>
  </si>
  <si>
    <t>QUEDA.CAMA</t>
  </si>
  <si>
    <t>QUEDA.ESCADA</t>
  </si>
  <si>
    <t>QUEDA.CAVALO</t>
  </si>
  <si>
    <t>QUEDA.ARVORE</t>
  </si>
  <si>
    <t>QUEDA.REDE</t>
  </si>
  <si>
    <t>QUEDA.TELHADO</t>
  </si>
  <si>
    <t>QUEDA.OUTROS</t>
  </si>
  <si>
    <t>TENTATIVA_DE_SUICIDIO</t>
  </si>
  <si>
    <t>TOTAL.ATEND_GERAL</t>
  </si>
  <si>
    <t>TOTAL.ACIDTRANSITO.MOTO</t>
  </si>
  <si>
    <t>TOTAL.ACIDTRANSITO.CARRO</t>
  </si>
  <si>
    <t>TOTAL.ACIDTRANSITO.VEICG</t>
  </si>
  <si>
    <t>TOTAL.ACIDTRANSITO</t>
  </si>
  <si>
    <t>OBSERVACAO</t>
  </si>
  <si>
    <t>URGENCIA</t>
  </si>
  <si>
    <t>EXAMES.LABORATORIO</t>
  </si>
  <si>
    <t>EXAMES.RAIO_X</t>
  </si>
  <si>
    <t>ATEND.ODONTOLOGIA</t>
  </si>
  <si>
    <t>EXAMES.ELETROCARDIOGRAMA</t>
  </si>
  <si>
    <t>TOTAL.SUTURA_CURATIVO</t>
  </si>
  <si>
    <t>TOTAL.QUEDA</t>
  </si>
  <si>
    <t>SUT.CURATIVO</t>
  </si>
  <si>
    <t>SUT.IMOBILIZACAO</t>
  </si>
  <si>
    <t>SUT.SUTURA</t>
  </si>
  <si>
    <t>SUT.RETIRADA_CORPO_ESTRANHO</t>
  </si>
  <si>
    <t>SUT.LAVAGEM</t>
  </si>
  <si>
    <t>JAN</t>
  </si>
  <si>
    <t>2017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</si>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</sst>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3" borderId="0" xfId="0" applyFill="1"/>
    <xf numFmtId="164" fontId="0" fillId="4" borderId="0" xfId="0" applyNumberFormat="1" applyFill="1"/>
    <xf numFmtId="14" fontId="0" fillId="4" borderId="0" xfId="0" applyNumberFormat="1" applyFill="1"/>
    <xf numFmtId="0" fontId="0" fillId="4" borderId="0" xfId="0" applyFill="1"/>
    <xf numFmtId="49" fontId="0" fillId="4" borderId="0" xfId="0" applyNumberFormat="1" applyFill="1"/>
    <xf numFmtId="164" fontId="0" fillId="5" borderId="0" xfId="0" applyNumberFormat="1" applyFill="1"/>
    <xf numFmtId="14" fontId="0" fillId="5" borderId="0" xfId="0" applyNumberFormat="1" applyFill="1"/>
    <xf numFmtId="0" fontId="0" fillId="5" borderId="0" xfId="0" applyFill="1"/>
    <xf numFmtId="49" fontId="0" fillId="5" borderId="0" xfId="0" applyNumberFormat="1" applyFill="1"/>
    <xf numFmtId="49" fontId="0" fillId="6" borderId="0" xfId="0" applyNumberFormat="1" applyFill="1"/>
    <xf numFmtId="164" fontId="0" fillId="7" borderId="0" xfId="0" applyNumberFormat="1" applyFill="1"/>
    <xf numFmtId="14" fontId="0" fillId="7" borderId="0" xfId="0" applyNumberFormat="1" applyFill="1"/>
    <xf numFmtId="0" fontId="0" fillId="7" borderId="0" xfId="0" applyFill="1"/>
    <xf numFmtId="0" fontId="1" fillId="0" borderId="0" xfId="0" applyFont="1"/>
    <xf numFmtId="49" fontId="0" fillId="8" borderId="0" xfId="0" applyNumberFormat="1" applyFill="1"/>
    <xf numFmtId="164" fontId="0" fillId="9" borderId="0" xfId="0" applyNumberFormat="1" applyFill="1"/>
    <xf numFmtId="14" fontId="0" fillId="10" borderId="0" xfId="0" applyNumberFormat="1" applyFill="1"/>
    <xf numFmtId="0" fontId="0" fillId="10" borderId="0" xfId="0" applyFill="1"/>
    <xf numFmtId="49" fontId="0" fillId="9" borderId="0" xfId="0" applyNumberFormat="1" applyFill="1"/>
    <xf numFmtId="164" fontId="0" fillId="5" borderId="1" xfId="0" applyNumberFormat="1" applyFill="1" applyBorder="1"/>
    <xf numFmtId="14" fontId="0" fillId="10" borderId="2" xfId="0" applyNumberFormat="1" applyFill="1" applyBorder="1"/>
    <xf numFmtId="0" fontId="0" fillId="10" borderId="2" xfId="0" applyFill="1" applyBorder="1"/>
    <xf numFmtId="49" fontId="0" fillId="9" borderId="2" xfId="0" applyNumberFormat="1" applyFill="1" applyBorder="1"/>
    <xf numFmtId="0" fontId="0" fillId="0" borderId="2" xfId="0" applyBorder="1"/>
    <xf numFmtId="0" fontId="0" fillId="4" borderId="2" xfId="0" applyFill="1" applyBorder="1"/>
    <xf numFmtId="0" fontId="0" fillId="0" borderId="3" xfId="0" applyBorder="1"/>
    <xf numFmtId="164" fontId="0" fillId="5" borderId="4" xfId="0" applyNumberFormat="1" applyFill="1" applyBorder="1"/>
    <xf numFmtId="0" fontId="0" fillId="0" borderId="5" xfId="0" applyBorder="1"/>
    <xf numFmtId="164" fontId="0" fillId="5" borderId="6" xfId="0" applyNumberFormat="1" applyFill="1" applyBorder="1"/>
    <xf numFmtId="14" fontId="0" fillId="10" borderId="7" xfId="0" applyNumberFormat="1" applyFill="1" applyBorder="1"/>
    <xf numFmtId="0" fontId="0" fillId="10" borderId="7" xfId="0" applyFill="1" applyBorder="1"/>
    <xf numFmtId="49" fontId="0" fillId="9" borderId="7" xfId="0" applyNumberFormat="1" applyFill="1" applyBorder="1"/>
    <xf numFmtId="0" fontId="0" fillId="0" borderId="7" xfId="0" applyBorder="1"/>
    <xf numFmtId="0" fontId="0" fillId="4" borderId="7" xfId="0" applyFill="1" applyBorder="1"/>
    <xf numFmtId="0" fontId="0" fillId="0" borderId="8" xfId="0" applyBorder="1"/>
    <xf numFmtId="164" fontId="0" fillId="11" borderId="0" xfId="0" applyNumberFormat="1" applyFill="1"/>
    <xf numFmtId="0" fontId="0" fillId="11" borderId="0" xfId="0" applyFill="1"/>
    <xf numFmtId="49" fontId="0" fillId="11" borderId="0" xfId="0" applyNumberFormat="1" applyFill="1"/>
    <xf numFmtId="164" fontId="0" fillId="12" borderId="0" xfId="0" applyNumberFormat="1" applyFill="1"/>
    <xf numFmtId="0" fontId="0" fillId="12" borderId="0" xfId="0" applyFill="1"/>
    <xf numFmtId="49" fontId="0" fillId="12" borderId="0" xfId="0" applyNumberFormat="1" applyFill="1"/>
    <xf numFmtId="164" fontId="0" fillId="13" borderId="0" xfId="0" applyNumberFormat="1" applyFill="1"/>
    <xf numFmtId="0" fontId="0" fillId="13" borderId="0" xfId="0" applyFill="1"/>
    <xf numFmtId="49" fontId="0" fillId="1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1900c52966f4148/2026/PRODUCAO%202026/00%20ANUAL%202026/PRODU&#199;&#195;O%20DE%202026%202.xlsx" TargetMode="External"/><Relationship Id="rId1" Type="http://schemas.openxmlformats.org/officeDocument/2006/relationships/externalLinkPath" Target="PRODU&#199;&#195;O%20DE%202026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lhes1"/>
      <sheetName val="MESES E ANOS"/>
      <sheetName val="ANUAL IMPORTADO PRO PBI"/>
      <sheetName val="1q2025"/>
      <sheetName val="PRODUÇÃO"/>
      <sheetName val="anual MESES E ANOS 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CF510-83E4-416F-B8BD-6B13C68A9ED3}">
  <sheetPr>
    <pageSetUpPr fitToPage="1"/>
  </sheetPr>
  <dimension ref="A1:BW121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20" sqref="L20"/>
    </sheetView>
  </sheetViews>
  <sheetFormatPr defaultRowHeight="15" x14ac:dyDescent="0.25"/>
  <cols>
    <col min="1" max="1" width="15.42578125" style="2" customWidth="1"/>
    <col min="2" max="3" width="15.42578125" customWidth="1"/>
    <col min="4" max="4" width="15.42578125" style="1" customWidth="1"/>
    <col min="5" max="5" width="10.5703125" bestFit="1" customWidth="1"/>
    <col min="6" max="6" width="9.140625" customWidth="1"/>
    <col min="28" max="28" width="22.7109375" bestFit="1" customWidth="1"/>
    <col min="29" max="29" width="25.7109375" bestFit="1" customWidth="1"/>
    <col min="30" max="30" width="14.85546875" bestFit="1" customWidth="1"/>
    <col min="31" max="31" width="14.28515625" bestFit="1" customWidth="1"/>
    <col min="32" max="32" width="24.42578125" bestFit="1" customWidth="1"/>
    <col min="33" max="33" width="14.5703125" bestFit="1" customWidth="1"/>
    <col min="34" max="34" width="15.5703125" bestFit="1" customWidth="1"/>
    <col min="35" max="35" width="16.5703125" bestFit="1" customWidth="1"/>
    <col min="36" max="36" width="23" bestFit="1" customWidth="1"/>
    <col min="37" max="37" width="15.42578125" bestFit="1" customWidth="1"/>
    <col min="38" max="38" width="25" bestFit="1" customWidth="1"/>
    <col min="39" max="39" width="16.140625" bestFit="1" customWidth="1"/>
    <col min="40" max="40" width="16.85546875" bestFit="1" customWidth="1"/>
    <col min="50" max="50" width="13.42578125" bestFit="1" customWidth="1"/>
    <col min="55" max="55" width="16.140625" bestFit="1" customWidth="1"/>
    <col min="57" max="57" width="22.28515625" bestFit="1" customWidth="1"/>
    <col min="58" max="58" width="19.42578125" bestFit="1" customWidth="1"/>
    <col min="61" max="61" width="26.7109375" bestFit="1" customWidth="1"/>
    <col min="62" max="62" width="20.5703125" bestFit="1" customWidth="1"/>
    <col min="63" max="63" width="13.28515625" bestFit="1" customWidth="1"/>
    <col min="64" max="64" width="10.42578125" bestFit="1" customWidth="1"/>
    <col min="65" max="65" width="12.42578125" bestFit="1" customWidth="1"/>
    <col min="66" max="66" width="15" bestFit="1" customWidth="1"/>
    <col min="67" max="67" width="16.140625" bestFit="1" customWidth="1"/>
    <col min="68" max="68" width="29.140625" bestFit="1" customWidth="1"/>
    <col min="69" max="69" width="25.5703125" bestFit="1" customWidth="1"/>
    <col min="70" max="70" width="13.42578125" bestFit="1" customWidth="1"/>
    <col min="71" max="71" width="14.140625" bestFit="1" customWidth="1"/>
    <col min="72" max="72" width="18.140625" bestFit="1" customWidth="1"/>
    <col min="73" max="73" width="11.85546875" bestFit="1" customWidth="1"/>
    <col min="74" max="74" width="32.140625" bestFit="1" customWidth="1"/>
    <col min="75" max="75" width="13.7109375" bestFit="1" customWidth="1"/>
  </cols>
  <sheetData>
    <row r="1" spans="1:7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x14ac:dyDescent="0.25">
      <c r="A2" s="2">
        <v>42736</v>
      </c>
      <c r="B2" s="3" t="s">
        <v>75</v>
      </c>
      <c r="C2">
        <v>1</v>
      </c>
      <c r="D2" s="1" t="s">
        <v>76</v>
      </c>
      <c r="E2">
        <v>0</v>
      </c>
      <c r="F2">
        <v>0</v>
      </c>
      <c r="G2">
        <v>0</v>
      </c>
      <c r="H2">
        <v>0</v>
      </c>
      <c r="I2">
        <v>2427</v>
      </c>
      <c r="J2">
        <v>2561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802</v>
      </c>
      <c r="T2">
        <v>0</v>
      </c>
      <c r="U2">
        <v>0</v>
      </c>
      <c r="V2">
        <v>0</v>
      </c>
      <c r="W2">
        <v>0</v>
      </c>
      <c r="X2">
        <v>0</v>
      </c>
      <c r="Y2">
        <v>20</v>
      </c>
      <c r="Z2">
        <v>15217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21</v>
      </c>
      <c r="AQ2">
        <v>26</v>
      </c>
      <c r="AR2">
        <v>12</v>
      </c>
      <c r="AS2">
        <v>0</v>
      </c>
      <c r="AT2">
        <v>34</v>
      </c>
      <c r="AU2">
        <v>685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4988</v>
      </c>
      <c r="BG2">
        <v>0</v>
      </c>
      <c r="BH2">
        <v>0</v>
      </c>
      <c r="BI2">
        <v>0</v>
      </c>
      <c r="BJ2">
        <v>328</v>
      </c>
      <c r="BK2">
        <v>204</v>
      </c>
      <c r="BL2">
        <v>269</v>
      </c>
      <c r="BM2">
        <v>2174</v>
      </c>
      <c r="BN2">
        <v>1173</v>
      </c>
      <c r="BO2">
        <v>584</v>
      </c>
      <c r="BP2">
        <v>0</v>
      </c>
      <c r="BQ2">
        <v>240</v>
      </c>
      <c r="BR2">
        <v>0</v>
      </c>
      <c r="BS2">
        <v>120</v>
      </c>
      <c r="BT2">
        <v>24</v>
      </c>
      <c r="BU2">
        <v>66</v>
      </c>
      <c r="BV2">
        <v>5</v>
      </c>
      <c r="BW2">
        <v>20</v>
      </c>
    </row>
    <row r="3" spans="1:75" x14ac:dyDescent="0.25">
      <c r="A3" s="2">
        <v>42767</v>
      </c>
      <c r="B3" s="3" t="s">
        <v>77</v>
      </c>
      <c r="C3">
        <v>1</v>
      </c>
      <c r="D3" s="1" t="s">
        <v>76</v>
      </c>
      <c r="E3">
        <v>0</v>
      </c>
      <c r="F3">
        <v>0</v>
      </c>
      <c r="G3">
        <v>0</v>
      </c>
      <c r="H3">
        <v>0</v>
      </c>
      <c r="I3">
        <v>3140</v>
      </c>
      <c r="J3">
        <v>3387</v>
      </c>
      <c r="K3">
        <v>0</v>
      </c>
      <c r="L3">
        <v>3572</v>
      </c>
      <c r="M3">
        <v>1660</v>
      </c>
      <c r="N3">
        <v>0</v>
      </c>
      <c r="O3">
        <v>0</v>
      </c>
      <c r="P3">
        <v>0</v>
      </c>
      <c r="Q3">
        <v>0</v>
      </c>
      <c r="R3">
        <v>0</v>
      </c>
      <c r="S3">
        <v>369</v>
      </c>
      <c r="T3">
        <v>0</v>
      </c>
      <c r="U3">
        <v>0</v>
      </c>
      <c r="V3">
        <v>0</v>
      </c>
      <c r="W3">
        <v>0</v>
      </c>
      <c r="X3">
        <v>0</v>
      </c>
      <c r="Y3">
        <v>54</v>
      </c>
      <c r="Z3">
        <v>16875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18</v>
      </c>
      <c r="AQ3">
        <v>17</v>
      </c>
      <c r="AR3">
        <v>16</v>
      </c>
      <c r="AS3">
        <v>0</v>
      </c>
      <c r="AT3">
        <v>30</v>
      </c>
      <c r="AU3">
        <v>790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6527</v>
      </c>
      <c r="BG3">
        <v>0</v>
      </c>
      <c r="BH3">
        <v>0</v>
      </c>
      <c r="BI3">
        <v>0</v>
      </c>
      <c r="BJ3">
        <v>253</v>
      </c>
      <c r="BK3">
        <v>383</v>
      </c>
      <c r="BL3">
        <v>316</v>
      </c>
      <c r="BM3">
        <v>2395</v>
      </c>
      <c r="BN3">
        <v>907</v>
      </c>
      <c r="BO3">
        <v>210</v>
      </c>
      <c r="BP3">
        <v>0</v>
      </c>
      <c r="BQ3">
        <v>470</v>
      </c>
      <c r="BR3">
        <v>0</v>
      </c>
      <c r="BS3">
        <v>133</v>
      </c>
      <c r="BT3">
        <v>42</v>
      </c>
      <c r="BU3">
        <v>140</v>
      </c>
      <c r="BV3">
        <v>6</v>
      </c>
      <c r="BW3">
        <v>50</v>
      </c>
    </row>
    <row r="4" spans="1:75" x14ac:dyDescent="0.25">
      <c r="A4" s="2">
        <v>42795</v>
      </c>
      <c r="B4" s="3" t="s">
        <v>78</v>
      </c>
      <c r="C4">
        <v>1</v>
      </c>
      <c r="D4" s="1" t="s">
        <v>76</v>
      </c>
      <c r="E4">
        <v>1875</v>
      </c>
      <c r="F4">
        <v>1287</v>
      </c>
      <c r="G4">
        <v>3998</v>
      </c>
      <c r="H4">
        <v>870</v>
      </c>
      <c r="I4">
        <v>3930</v>
      </c>
      <c r="J4">
        <v>4100</v>
      </c>
      <c r="K4">
        <v>0</v>
      </c>
      <c r="L4">
        <v>5416</v>
      </c>
      <c r="M4">
        <v>2614</v>
      </c>
      <c r="N4">
        <v>0</v>
      </c>
      <c r="O4">
        <v>0</v>
      </c>
      <c r="P4">
        <v>0</v>
      </c>
      <c r="Q4">
        <v>0</v>
      </c>
      <c r="R4">
        <v>0</v>
      </c>
      <c r="S4">
        <v>511</v>
      </c>
      <c r="T4">
        <v>0</v>
      </c>
      <c r="U4">
        <v>0</v>
      </c>
      <c r="V4">
        <v>0</v>
      </c>
      <c r="W4">
        <v>0</v>
      </c>
      <c r="X4">
        <v>0</v>
      </c>
      <c r="Y4">
        <v>108</v>
      </c>
      <c r="Z4">
        <v>23565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31</v>
      </c>
      <c r="AO4">
        <v>0</v>
      </c>
      <c r="AP4">
        <v>30</v>
      </c>
      <c r="AQ4">
        <v>20</v>
      </c>
      <c r="AR4">
        <v>16</v>
      </c>
      <c r="AS4">
        <v>0</v>
      </c>
      <c r="AT4">
        <v>37</v>
      </c>
      <c r="AU4">
        <v>930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8030</v>
      </c>
      <c r="BG4">
        <v>255</v>
      </c>
      <c r="BH4">
        <v>20</v>
      </c>
      <c r="BI4">
        <v>1</v>
      </c>
      <c r="BJ4">
        <v>307</v>
      </c>
      <c r="BK4">
        <v>380</v>
      </c>
      <c r="BL4">
        <v>344</v>
      </c>
      <c r="BM4">
        <v>1775</v>
      </c>
      <c r="BN4">
        <v>1518</v>
      </c>
      <c r="BO4">
        <v>502</v>
      </c>
      <c r="BP4">
        <v>0</v>
      </c>
      <c r="BQ4">
        <v>324</v>
      </c>
      <c r="BR4">
        <v>0</v>
      </c>
      <c r="BS4">
        <v>195</v>
      </c>
      <c r="BT4">
        <v>30</v>
      </c>
      <c r="BU4">
        <v>96</v>
      </c>
      <c r="BV4">
        <v>2</v>
      </c>
      <c r="BW4">
        <v>32</v>
      </c>
    </row>
    <row r="5" spans="1:75" x14ac:dyDescent="0.25">
      <c r="A5" s="2">
        <v>42826</v>
      </c>
      <c r="B5" s="3" t="s">
        <v>79</v>
      </c>
      <c r="C5">
        <v>1</v>
      </c>
      <c r="D5" s="1" t="s">
        <v>76</v>
      </c>
      <c r="E5">
        <v>1089</v>
      </c>
      <c r="F5">
        <v>891</v>
      </c>
      <c r="G5">
        <v>2982</v>
      </c>
      <c r="H5">
        <v>709</v>
      </c>
      <c r="I5">
        <v>2769</v>
      </c>
      <c r="J5">
        <v>2902</v>
      </c>
      <c r="K5">
        <v>0</v>
      </c>
      <c r="L5">
        <v>3654</v>
      </c>
      <c r="M5">
        <v>2017</v>
      </c>
      <c r="N5">
        <v>0</v>
      </c>
      <c r="O5">
        <v>0</v>
      </c>
      <c r="P5">
        <v>0</v>
      </c>
      <c r="Q5">
        <v>0</v>
      </c>
      <c r="R5">
        <v>0</v>
      </c>
      <c r="S5">
        <v>350</v>
      </c>
      <c r="T5">
        <v>0</v>
      </c>
      <c r="U5">
        <v>0</v>
      </c>
      <c r="V5">
        <v>0</v>
      </c>
      <c r="W5">
        <v>0</v>
      </c>
      <c r="X5">
        <v>0</v>
      </c>
      <c r="Y5">
        <v>86</v>
      </c>
      <c r="Z5">
        <v>16542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18</v>
      </c>
      <c r="AO5">
        <v>0</v>
      </c>
      <c r="AP5">
        <v>15</v>
      </c>
      <c r="AQ5">
        <v>26</v>
      </c>
      <c r="AR5">
        <v>15</v>
      </c>
      <c r="AS5">
        <v>0</v>
      </c>
      <c r="AT5">
        <v>29</v>
      </c>
      <c r="AU5">
        <v>635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5671</v>
      </c>
      <c r="BG5">
        <v>326</v>
      </c>
      <c r="BH5">
        <v>26</v>
      </c>
      <c r="BI5">
        <v>4</v>
      </c>
      <c r="BJ5">
        <v>374</v>
      </c>
      <c r="BK5">
        <v>371</v>
      </c>
      <c r="BL5">
        <v>336</v>
      </c>
      <c r="BM5">
        <v>1742</v>
      </c>
      <c r="BN5">
        <v>861</v>
      </c>
      <c r="BO5">
        <v>534</v>
      </c>
      <c r="BP5">
        <v>0</v>
      </c>
      <c r="BQ5">
        <v>517</v>
      </c>
      <c r="BR5">
        <v>0</v>
      </c>
      <c r="BS5">
        <v>188</v>
      </c>
      <c r="BT5">
        <v>63</v>
      </c>
      <c r="BU5">
        <v>129</v>
      </c>
      <c r="BV5">
        <v>4</v>
      </c>
      <c r="BW5">
        <v>61</v>
      </c>
    </row>
    <row r="6" spans="1:75" x14ac:dyDescent="0.25">
      <c r="A6" s="2">
        <v>42856</v>
      </c>
      <c r="B6" s="3" t="s">
        <v>80</v>
      </c>
      <c r="C6">
        <v>2</v>
      </c>
      <c r="D6" s="1" t="s">
        <v>76</v>
      </c>
      <c r="E6">
        <v>1240</v>
      </c>
      <c r="F6">
        <v>970</v>
      </c>
      <c r="G6">
        <v>3282</v>
      </c>
      <c r="H6">
        <v>726</v>
      </c>
      <c r="I6">
        <v>3029</v>
      </c>
      <c r="J6">
        <v>3189</v>
      </c>
      <c r="K6">
        <v>0</v>
      </c>
      <c r="L6">
        <v>4047</v>
      </c>
      <c r="M6">
        <v>2171</v>
      </c>
      <c r="N6">
        <v>0</v>
      </c>
      <c r="O6">
        <v>0</v>
      </c>
      <c r="P6">
        <v>0</v>
      </c>
      <c r="Q6">
        <v>0</v>
      </c>
      <c r="R6">
        <v>0</v>
      </c>
      <c r="S6">
        <v>356</v>
      </c>
      <c r="T6">
        <v>0</v>
      </c>
      <c r="U6">
        <v>0</v>
      </c>
      <c r="V6">
        <v>0</v>
      </c>
      <c r="W6">
        <v>0</v>
      </c>
      <c r="X6">
        <v>0</v>
      </c>
      <c r="Y6">
        <v>76</v>
      </c>
      <c r="Z6">
        <v>18537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33</v>
      </c>
      <c r="AO6">
        <v>0</v>
      </c>
      <c r="AP6">
        <v>25</v>
      </c>
      <c r="AQ6">
        <v>29</v>
      </c>
      <c r="AR6">
        <v>23</v>
      </c>
      <c r="AS6">
        <v>0</v>
      </c>
      <c r="AT6">
        <v>20</v>
      </c>
      <c r="AU6">
        <v>796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6218</v>
      </c>
      <c r="BG6">
        <v>272</v>
      </c>
      <c r="BH6">
        <v>36</v>
      </c>
      <c r="BI6">
        <v>1</v>
      </c>
      <c r="BJ6">
        <v>342</v>
      </c>
      <c r="BK6">
        <v>381</v>
      </c>
      <c r="BL6">
        <v>378</v>
      </c>
      <c r="BM6">
        <v>2524</v>
      </c>
      <c r="BN6">
        <v>1511</v>
      </c>
      <c r="BO6">
        <v>448</v>
      </c>
      <c r="BP6">
        <v>0</v>
      </c>
      <c r="BQ6">
        <v>465</v>
      </c>
      <c r="BR6">
        <v>0</v>
      </c>
      <c r="BS6">
        <v>218</v>
      </c>
      <c r="BT6">
        <v>67</v>
      </c>
      <c r="BU6">
        <v>125</v>
      </c>
      <c r="BV6">
        <v>9</v>
      </c>
      <c r="BW6">
        <v>46</v>
      </c>
    </row>
    <row r="7" spans="1:75" x14ac:dyDescent="0.25">
      <c r="A7" s="2">
        <v>42887</v>
      </c>
      <c r="B7" s="3" t="s">
        <v>81</v>
      </c>
      <c r="C7">
        <v>2</v>
      </c>
      <c r="D7" s="1" t="s">
        <v>76</v>
      </c>
      <c r="E7">
        <v>1087</v>
      </c>
      <c r="F7">
        <v>896</v>
      </c>
      <c r="G7">
        <v>3046</v>
      </c>
      <c r="H7">
        <v>604</v>
      </c>
      <c r="I7">
        <v>2758</v>
      </c>
      <c r="J7">
        <v>2875</v>
      </c>
      <c r="K7">
        <v>0</v>
      </c>
      <c r="L7">
        <v>3448</v>
      </c>
      <c r="M7">
        <v>2185</v>
      </c>
      <c r="N7">
        <v>0</v>
      </c>
      <c r="O7">
        <v>0</v>
      </c>
      <c r="P7">
        <v>0</v>
      </c>
      <c r="Q7">
        <v>0</v>
      </c>
      <c r="R7">
        <v>0</v>
      </c>
      <c r="S7">
        <v>322</v>
      </c>
      <c r="T7">
        <v>0</v>
      </c>
      <c r="U7">
        <v>0</v>
      </c>
      <c r="V7">
        <v>0</v>
      </c>
      <c r="W7">
        <v>0</v>
      </c>
      <c r="X7">
        <v>0</v>
      </c>
      <c r="Y7">
        <v>74</v>
      </c>
      <c r="Z7">
        <v>21390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19</v>
      </c>
      <c r="AO7">
        <v>0</v>
      </c>
      <c r="AP7">
        <v>23</v>
      </c>
      <c r="AQ7">
        <v>24</v>
      </c>
      <c r="AR7">
        <v>15</v>
      </c>
      <c r="AS7">
        <v>0</v>
      </c>
      <c r="AT7">
        <v>29</v>
      </c>
      <c r="AU7">
        <v>700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5633</v>
      </c>
      <c r="BG7">
        <v>286</v>
      </c>
      <c r="BH7">
        <v>26</v>
      </c>
      <c r="BI7">
        <v>0</v>
      </c>
      <c r="BJ7">
        <v>331</v>
      </c>
      <c r="BK7">
        <v>369</v>
      </c>
      <c r="BL7">
        <v>367</v>
      </c>
      <c r="BM7">
        <v>3800</v>
      </c>
      <c r="BN7">
        <v>666</v>
      </c>
      <c r="BO7">
        <v>682</v>
      </c>
      <c r="BP7">
        <v>0</v>
      </c>
      <c r="BQ7">
        <v>519</v>
      </c>
      <c r="BR7">
        <v>0</v>
      </c>
      <c r="BS7">
        <v>231</v>
      </c>
      <c r="BT7">
        <v>66</v>
      </c>
      <c r="BU7">
        <v>139</v>
      </c>
      <c r="BV7">
        <v>9</v>
      </c>
      <c r="BW7">
        <v>74</v>
      </c>
    </row>
    <row r="8" spans="1:75" x14ac:dyDescent="0.25">
      <c r="A8" s="2">
        <v>42917</v>
      </c>
      <c r="B8" s="3" t="s">
        <v>82</v>
      </c>
      <c r="C8">
        <v>2</v>
      </c>
      <c r="D8" s="1" t="s">
        <v>76</v>
      </c>
      <c r="E8">
        <v>1013</v>
      </c>
      <c r="F8">
        <v>1008</v>
      </c>
      <c r="G8">
        <v>2756</v>
      </c>
      <c r="H8">
        <v>639</v>
      </c>
      <c r="I8">
        <v>2624</v>
      </c>
      <c r="J8">
        <v>2792</v>
      </c>
      <c r="K8">
        <v>0</v>
      </c>
      <c r="L8">
        <v>3630</v>
      </c>
      <c r="M8">
        <v>1786</v>
      </c>
      <c r="N8">
        <v>0</v>
      </c>
      <c r="O8">
        <v>0</v>
      </c>
      <c r="P8">
        <v>0</v>
      </c>
      <c r="Q8">
        <v>0</v>
      </c>
      <c r="R8">
        <v>0</v>
      </c>
      <c r="S8">
        <v>377</v>
      </c>
      <c r="T8">
        <v>0</v>
      </c>
      <c r="U8">
        <v>0</v>
      </c>
      <c r="V8">
        <v>0</v>
      </c>
      <c r="W8">
        <v>0</v>
      </c>
      <c r="X8">
        <v>0</v>
      </c>
      <c r="Y8">
        <v>57</v>
      </c>
      <c r="Z8">
        <v>11277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29</v>
      </c>
      <c r="AO8">
        <v>0</v>
      </c>
      <c r="AP8">
        <v>20</v>
      </c>
      <c r="AQ8">
        <v>23</v>
      </c>
      <c r="AR8">
        <v>30</v>
      </c>
      <c r="AS8">
        <v>0</v>
      </c>
      <c r="AT8">
        <v>27</v>
      </c>
      <c r="AU8">
        <v>557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5416</v>
      </c>
      <c r="BG8">
        <v>241</v>
      </c>
      <c r="BH8">
        <v>47</v>
      </c>
      <c r="BI8">
        <v>1</v>
      </c>
      <c r="BJ8">
        <v>318</v>
      </c>
      <c r="BK8">
        <v>376</v>
      </c>
      <c r="BL8">
        <v>367</v>
      </c>
      <c r="BM8">
        <v>2423</v>
      </c>
      <c r="BN8">
        <v>383</v>
      </c>
      <c r="BO8">
        <v>672</v>
      </c>
      <c r="BP8">
        <v>0</v>
      </c>
      <c r="BQ8">
        <v>568</v>
      </c>
      <c r="BR8">
        <v>0</v>
      </c>
      <c r="BS8">
        <v>316</v>
      </c>
      <c r="BT8">
        <v>36</v>
      </c>
      <c r="BU8">
        <v>155</v>
      </c>
      <c r="BV8">
        <v>13</v>
      </c>
      <c r="BW8">
        <v>48</v>
      </c>
    </row>
    <row r="9" spans="1:75" x14ac:dyDescent="0.25">
      <c r="A9" s="2">
        <v>42948</v>
      </c>
      <c r="B9" s="3" t="s">
        <v>83</v>
      </c>
      <c r="C9">
        <v>2</v>
      </c>
      <c r="D9" s="1" t="s">
        <v>76</v>
      </c>
      <c r="E9">
        <v>999</v>
      </c>
      <c r="F9">
        <v>1305</v>
      </c>
      <c r="G9">
        <v>2919</v>
      </c>
      <c r="H9">
        <v>762</v>
      </c>
      <c r="I9">
        <v>2956</v>
      </c>
      <c r="J9">
        <v>3029</v>
      </c>
      <c r="K9">
        <v>0</v>
      </c>
      <c r="L9">
        <v>3859</v>
      </c>
      <c r="M9">
        <v>2126</v>
      </c>
      <c r="N9">
        <v>0</v>
      </c>
      <c r="O9">
        <v>0</v>
      </c>
      <c r="P9">
        <v>0</v>
      </c>
      <c r="Q9">
        <v>0</v>
      </c>
      <c r="R9">
        <v>0</v>
      </c>
      <c r="S9">
        <v>393</v>
      </c>
      <c r="T9">
        <v>0</v>
      </c>
      <c r="U9">
        <v>0</v>
      </c>
      <c r="V9">
        <v>0</v>
      </c>
      <c r="W9">
        <v>0</v>
      </c>
      <c r="X9">
        <v>0</v>
      </c>
      <c r="Y9">
        <v>93</v>
      </c>
      <c r="Z9">
        <v>16123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18</v>
      </c>
      <c r="AO9">
        <v>0</v>
      </c>
      <c r="AP9">
        <v>26</v>
      </c>
      <c r="AQ9">
        <v>20</v>
      </c>
      <c r="AR9">
        <v>19</v>
      </c>
      <c r="AS9">
        <v>0</v>
      </c>
      <c r="AT9">
        <v>27</v>
      </c>
      <c r="AU9">
        <v>648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5985</v>
      </c>
      <c r="BG9">
        <v>145</v>
      </c>
      <c r="BH9">
        <v>40</v>
      </c>
      <c r="BI9">
        <v>3</v>
      </c>
      <c r="BJ9">
        <v>206</v>
      </c>
      <c r="BK9">
        <v>366</v>
      </c>
      <c r="BL9">
        <v>353</v>
      </c>
      <c r="BM9">
        <v>1736</v>
      </c>
      <c r="BN9">
        <v>1170</v>
      </c>
      <c r="BO9">
        <v>504</v>
      </c>
      <c r="BP9">
        <v>0</v>
      </c>
      <c r="BQ9">
        <v>625</v>
      </c>
      <c r="BR9">
        <v>0</v>
      </c>
      <c r="BS9">
        <v>341</v>
      </c>
      <c r="BT9">
        <v>48</v>
      </c>
      <c r="BU9">
        <v>170</v>
      </c>
      <c r="BV9">
        <v>14</v>
      </c>
      <c r="BW9">
        <v>52</v>
      </c>
    </row>
    <row r="10" spans="1:75" x14ac:dyDescent="0.25">
      <c r="A10" s="2">
        <v>42979</v>
      </c>
      <c r="B10" s="3" t="s">
        <v>84</v>
      </c>
      <c r="C10">
        <v>3</v>
      </c>
      <c r="D10" s="1" t="s">
        <v>76</v>
      </c>
      <c r="E10">
        <v>1025</v>
      </c>
      <c r="F10">
        <v>1083</v>
      </c>
      <c r="G10">
        <v>2972</v>
      </c>
      <c r="H10">
        <v>732</v>
      </c>
      <c r="I10">
        <v>2789</v>
      </c>
      <c r="J10">
        <v>3023</v>
      </c>
      <c r="K10">
        <v>0</v>
      </c>
      <c r="L10">
        <v>3840</v>
      </c>
      <c r="M10">
        <v>1972</v>
      </c>
      <c r="N10">
        <v>0</v>
      </c>
      <c r="O10">
        <v>0</v>
      </c>
      <c r="P10">
        <v>0</v>
      </c>
      <c r="Q10">
        <v>0</v>
      </c>
      <c r="R10">
        <v>0</v>
      </c>
      <c r="S10">
        <v>434</v>
      </c>
      <c r="T10">
        <v>0</v>
      </c>
      <c r="U10">
        <v>0</v>
      </c>
      <c r="V10">
        <v>0</v>
      </c>
      <c r="W10">
        <v>0</v>
      </c>
      <c r="X10">
        <v>0</v>
      </c>
      <c r="Y10">
        <v>64</v>
      </c>
      <c r="Z10">
        <v>16347</v>
      </c>
      <c r="AA10">
        <v>10163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22</v>
      </c>
      <c r="AO10">
        <v>0</v>
      </c>
      <c r="AP10">
        <v>19</v>
      </c>
      <c r="AQ10">
        <v>25</v>
      </c>
      <c r="AR10">
        <v>23</v>
      </c>
      <c r="AS10">
        <v>0</v>
      </c>
      <c r="AT10">
        <v>20</v>
      </c>
      <c r="AU10">
        <v>630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5812</v>
      </c>
      <c r="BG10">
        <v>270</v>
      </c>
      <c r="BH10">
        <v>40</v>
      </c>
      <c r="BI10">
        <v>0</v>
      </c>
      <c r="BJ10">
        <v>332</v>
      </c>
      <c r="BK10">
        <v>334</v>
      </c>
      <c r="BL10">
        <v>295</v>
      </c>
      <c r="BM10">
        <v>1780</v>
      </c>
      <c r="BN10">
        <v>1479</v>
      </c>
      <c r="BO10">
        <v>289</v>
      </c>
      <c r="BP10">
        <v>0</v>
      </c>
      <c r="BQ10">
        <v>610</v>
      </c>
      <c r="BR10">
        <v>0</v>
      </c>
      <c r="BS10">
        <v>336</v>
      </c>
      <c r="BT10">
        <v>46</v>
      </c>
      <c r="BU10">
        <v>165</v>
      </c>
      <c r="BV10">
        <v>13</v>
      </c>
      <c r="BW10">
        <v>50</v>
      </c>
    </row>
    <row r="11" spans="1:75" x14ac:dyDescent="0.25">
      <c r="A11" s="2">
        <v>43009</v>
      </c>
      <c r="B11" s="3" t="s">
        <v>85</v>
      </c>
      <c r="C11">
        <v>3</v>
      </c>
      <c r="D11" s="1" t="s">
        <v>76</v>
      </c>
      <c r="E11">
        <v>1187</v>
      </c>
      <c r="F11">
        <v>1166</v>
      </c>
      <c r="G11">
        <v>3537</v>
      </c>
      <c r="H11">
        <v>746</v>
      </c>
      <c r="I11">
        <v>3226</v>
      </c>
      <c r="J11">
        <v>3410</v>
      </c>
      <c r="K11">
        <v>0</v>
      </c>
      <c r="L11">
        <v>4358</v>
      </c>
      <c r="M11">
        <v>2278</v>
      </c>
      <c r="N11">
        <v>0</v>
      </c>
      <c r="O11">
        <v>0</v>
      </c>
      <c r="P11">
        <v>0</v>
      </c>
      <c r="Q11">
        <v>0</v>
      </c>
      <c r="R11">
        <v>0</v>
      </c>
      <c r="S11">
        <v>450</v>
      </c>
      <c r="T11">
        <v>0</v>
      </c>
      <c r="U11">
        <v>0</v>
      </c>
      <c r="V11">
        <v>0</v>
      </c>
      <c r="W11">
        <v>0</v>
      </c>
      <c r="X11">
        <v>0</v>
      </c>
      <c r="Y11">
        <v>79</v>
      </c>
      <c r="Z11">
        <v>18653</v>
      </c>
      <c r="AA11">
        <v>10032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37</v>
      </c>
      <c r="AO11">
        <v>0</v>
      </c>
      <c r="AP11">
        <v>19</v>
      </c>
      <c r="AQ11">
        <v>18</v>
      </c>
      <c r="AR11">
        <v>16</v>
      </c>
      <c r="AS11">
        <v>0</v>
      </c>
      <c r="AT11">
        <v>37</v>
      </c>
      <c r="AU11">
        <v>680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6636</v>
      </c>
      <c r="BG11">
        <v>343</v>
      </c>
      <c r="BH11">
        <v>49</v>
      </c>
      <c r="BI11">
        <v>1</v>
      </c>
      <c r="BJ11">
        <v>430</v>
      </c>
      <c r="BK11">
        <v>459</v>
      </c>
      <c r="BL11">
        <v>418</v>
      </c>
      <c r="BM11">
        <v>2220</v>
      </c>
      <c r="BN11">
        <v>2904</v>
      </c>
      <c r="BO11">
        <v>254</v>
      </c>
      <c r="BP11">
        <v>0</v>
      </c>
      <c r="BQ11">
        <v>693</v>
      </c>
      <c r="BR11">
        <v>0</v>
      </c>
      <c r="BS11">
        <v>383</v>
      </c>
      <c r="BT11">
        <v>52</v>
      </c>
      <c r="BU11">
        <v>188</v>
      </c>
      <c r="BV11">
        <v>13</v>
      </c>
      <c r="BW11">
        <v>57</v>
      </c>
    </row>
    <row r="12" spans="1:75" x14ac:dyDescent="0.25">
      <c r="A12" s="2">
        <v>43040</v>
      </c>
      <c r="B12" s="3" t="s">
        <v>86</v>
      </c>
      <c r="C12">
        <v>3</v>
      </c>
      <c r="D12" s="1" t="s">
        <v>76</v>
      </c>
      <c r="E12">
        <v>1206</v>
      </c>
      <c r="F12">
        <v>1051</v>
      </c>
      <c r="G12">
        <v>3365</v>
      </c>
      <c r="H12">
        <v>732</v>
      </c>
      <c r="I12">
        <v>3007</v>
      </c>
      <c r="J12">
        <v>3347</v>
      </c>
      <c r="K12">
        <v>0</v>
      </c>
      <c r="L12">
        <v>4208</v>
      </c>
      <c r="M12">
        <v>38832</v>
      </c>
      <c r="N12">
        <v>0</v>
      </c>
      <c r="O12">
        <v>0</v>
      </c>
      <c r="P12">
        <v>0</v>
      </c>
      <c r="Q12">
        <v>0</v>
      </c>
      <c r="R12">
        <v>0</v>
      </c>
      <c r="S12">
        <v>428</v>
      </c>
      <c r="T12">
        <v>0</v>
      </c>
      <c r="U12">
        <v>0</v>
      </c>
      <c r="V12">
        <v>0</v>
      </c>
      <c r="W12">
        <v>0</v>
      </c>
      <c r="X12">
        <v>0</v>
      </c>
      <c r="Y12">
        <v>83</v>
      </c>
      <c r="Z12">
        <v>14724</v>
      </c>
      <c r="AA12">
        <v>9399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38</v>
      </c>
      <c r="AO12">
        <v>0</v>
      </c>
      <c r="AP12">
        <v>25</v>
      </c>
      <c r="AQ12">
        <v>30</v>
      </c>
      <c r="AR12">
        <v>25</v>
      </c>
      <c r="AS12">
        <v>0</v>
      </c>
      <c r="AT12">
        <v>28</v>
      </c>
      <c r="AU12">
        <v>538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6354</v>
      </c>
      <c r="BG12">
        <v>331</v>
      </c>
      <c r="BH12">
        <v>20</v>
      </c>
      <c r="BI12">
        <v>0</v>
      </c>
      <c r="BJ12">
        <v>389</v>
      </c>
      <c r="BK12">
        <v>402</v>
      </c>
      <c r="BL12">
        <v>391</v>
      </c>
      <c r="BM12">
        <v>2112</v>
      </c>
      <c r="BN12">
        <v>2578</v>
      </c>
      <c r="BO12">
        <v>203</v>
      </c>
      <c r="BP12">
        <v>0</v>
      </c>
      <c r="BQ12">
        <v>652</v>
      </c>
      <c r="BR12">
        <v>0</v>
      </c>
      <c r="BS12">
        <v>361</v>
      </c>
      <c r="BT12">
        <v>48</v>
      </c>
      <c r="BU12">
        <v>179</v>
      </c>
      <c r="BV12">
        <v>10</v>
      </c>
      <c r="BW12">
        <v>54</v>
      </c>
    </row>
    <row r="13" spans="1:75" x14ac:dyDescent="0.25">
      <c r="A13" s="2">
        <v>43070</v>
      </c>
      <c r="B13" s="3" t="s">
        <v>87</v>
      </c>
      <c r="C13">
        <v>3</v>
      </c>
      <c r="D13" s="1" t="s">
        <v>76</v>
      </c>
      <c r="E13">
        <v>965</v>
      </c>
      <c r="F13">
        <v>942</v>
      </c>
      <c r="G13">
        <v>3201</v>
      </c>
      <c r="H13">
        <v>666</v>
      </c>
      <c r="I13">
        <v>2826</v>
      </c>
      <c r="J13">
        <v>2948</v>
      </c>
      <c r="K13">
        <v>0</v>
      </c>
      <c r="L13">
        <v>3750</v>
      </c>
      <c r="M13">
        <v>2024</v>
      </c>
      <c r="N13">
        <v>0</v>
      </c>
      <c r="O13">
        <v>0</v>
      </c>
      <c r="P13">
        <v>0</v>
      </c>
      <c r="Q13">
        <v>0</v>
      </c>
      <c r="R13">
        <v>0</v>
      </c>
      <c r="S13">
        <v>451</v>
      </c>
      <c r="T13">
        <v>0</v>
      </c>
      <c r="U13">
        <v>0</v>
      </c>
      <c r="V13">
        <v>0</v>
      </c>
      <c r="W13">
        <v>0</v>
      </c>
      <c r="X13">
        <v>0</v>
      </c>
      <c r="Y13">
        <v>61</v>
      </c>
      <c r="Z13">
        <v>12546</v>
      </c>
      <c r="AA13">
        <v>7640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51</v>
      </c>
      <c r="AO13">
        <v>0</v>
      </c>
      <c r="AP13">
        <v>26</v>
      </c>
      <c r="AQ13">
        <v>27</v>
      </c>
      <c r="AR13">
        <v>37</v>
      </c>
      <c r="AS13">
        <v>0</v>
      </c>
      <c r="AT13">
        <v>33</v>
      </c>
      <c r="AU13">
        <v>389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5774</v>
      </c>
      <c r="BG13">
        <v>291</v>
      </c>
      <c r="BH13">
        <v>14</v>
      </c>
      <c r="BI13">
        <v>4</v>
      </c>
      <c r="BJ13">
        <v>360</v>
      </c>
      <c r="BK13">
        <v>405</v>
      </c>
      <c r="BL13">
        <v>375</v>
      </c>
      <c r="BM13">
        <v>1779</v>
      </c>
      <c r="BN13">
        <v>1509</v>
      </c>
      <c r="BO13">
        <v>210</v>
      </c>
      <c r="BP13">
        <v>0</v>
      </c>
      <c r="BQ13">
        <v>496</v>
      </c>
      <c r="BR13">
        <v>0</v>
      </c>
      <c r="BS13">
        <v>223</v>
      </c>
      <c r="BT13">
        <v>37</v>
      </c>
      <c r="BU13">
        <v>123</v>
      </c>
      <c r="BV13">
        <v>6</v>
      </c>
      <c r="BW13">
        <v>107</v>
      </c>
    </row>
    <row r="14" spans="1:75" x14ac:dyDescent="0.25">
      <c r="A14" s="2">
        <v>43101</v>
      </c>
      <c r="B14" s="3" t="s">
        <v>75</v>
      </c>
      <c r="C14">
        <v>1</v>
      </c>
      <c r="D14" s="1" t="s">
        <v>88</v>
      </c>
      <c r="E14">
        <v>1024</v>
      </c>
      <c r="F14">
        <v>961</v>
      </c>
      <c r="G14">
        <v>3275</v>
      </c>
      <c r="H14">
        <v>813</v>
      </c>
      <c r="I14">
        <v>4176</v>
      </c>
      <c r="J14">
        <v>1897</v>
      </c>
      <c r="K14">
        <v>726</v>
      </c>
      <c r="L14">
        <v>4176</v>
      </c>
      <c r="M14">
        <v>1897</v>
      </c>
      <c r="N14">
        <v>5479</v>
      </c>
      <c r="O14">
        <v>594</v>
      </c>
      <c r="P14">
        <v>3923</v>
      </c>
      <c r="Q14">
        <v>1200</v>
      </c>
      <c r="R14">
        <v>309</v>
      </c>
      <c r="S14">
        <v>488</v>
      </c>
      <c r="T14">
        <v>761</v>
      </c>
      <c r="U14">
        <v>2032</v>
      </c>
      <c r="V14">
        <v>1047</v>
      </c>
      <c r="W14">
        <v>0</v>
      </c>
      <c r="X14">
        <v>20</v>
      </c>
      <c r="Y14">
        <v>50</v>
      </c>
      <c r="Z14">
        <v>14002</v>
      </c>
      <c r="AA14">
        <v>9705</v>
      </c>
      <c r="AB14">
        <v>4672</v>
      </c>
      <c r="AC14">
        <v>64</v>
      </c>
      <c r="AD14">
        <v>32</v>
      </c>
      <c r="AE14">
        <v>22</v>
      </c>
      <c r="AF14">
        <v>0</v>
      </c>
      <c r="AG14">
        <v>239</v>
      </c>
      <c r="AH14">
        <v>6</v>
      </c>
      <c r="AI14">
        <v>1</v>
      </c>
      <c r="AJ14">
        <v>5</v>
      </c>
      <c r="AK14">
        <v>9</v>
      </c>
      <c r="AL14">
        <v>4</v>
      </c>
      <c r="AM14">
        <v>18</v>
      </c>
      <c r="AN14">
        <v>25</v>
      </c>
      <c r="AO14">
        <v>9</v>
      </c>
      <c r="AP14">
        <v>25</v>
      </c>
      <c r="AQ14">
        <v>22</v>
      </c>
      <c r="AR14">
        <v>20</v>
      </c>
      <c r="AS14">
        <v>35</v>
      </c>
      <c r="AT14">
        <v>43</v>
      </c>
      <c r="AU14">
        <v>370</v>
      </c>
      <c r="AV14">
        <v>126</v>
      </c>
      <c r="AW14">
        <v>11</v>
      </c>
      <c r="AX14">
        <v>13</v>
      </c>
      <c r="AY14">
        <v>11</v>
      </c>
      <c r="AZ14">
        <v>6</v>
      </c>
      <c r="BA14">
        <v>1</v>
      </c>
      <c r="BB14">
        <v>14</v>
      </c>
      <c r="BC14">
        <v>0</v>
      </c>
      <c r="BD14">
        <v>39</v>
      </c>
      <c r="BE14">
        <v>0</v>
      </c>
      <c r="BF14">
        <v>6073</v>
      </c>
      <c r="BG14">
        <v>299</v>
      </c>
      <c r="BH14">
        <v>36</v>
      </c>
      <c r="BI14">
        <v>1</v>
      </c>
      <c r="BJ14">
        <v>361</v>
      </c>
      <c r="BK14">
        <v>450</v>
      </c>
      <c r="BL14">
        <v>343</v>
      </c>
      <c r="BM14">
        <v>1617</v>
      </c>
      <c r="BN14">
        <v>1805</v>
      </c>
      <c r="BO14">
        <v>280</v>
      </c>
      <c r="BP14">
        <v>180</v>
      </c>
      <c r="BQ14">
        <v>649</v>
      </c>
      <c r="BR14">
        <v>221</v>
      </c>
      <c r="BS14">
        <v>276</v>
      </c>
      <c r="BT14">
        <v>47</v>
      </c>
      <c r="BU14">
        <v>158</v>
      </c>
      <c r="BV14">
        <v>11</v>
      </c>
      <c r="BW14">
        <v>157</v>
      </c>
    </row>
    <row r="15" spans="1:75" x14ac:dyDescent="0.25">
      <c r="A15" s="2">
        <v>43132</v>
      </c>
      <c r="B15" s="3" t="s">
        <v>77</v>
      </c>
      <c r="C15">
        <v>1</v>
      </c>
      <c r="D15" s="1" t="s">
        <v>88</v>
      </c>
      <c r="E15">
        <v>1193</v>
      </c>
      <c r="F15">
        <v>1258</v>
      </c>
      <c r="G15">
        <v>3148</v>
      </c>
      <c r="H15">
        <v>798</v>
      </c>
      <c r="I15">
        <v>3120</v>
      </c>
      <c r="J15">
        <v>3277</v>
      </c>
      <c r="K15">
        <v>869</v>
      </c>
      <c r="L15">
        <v>4434</v>
      </c>
      <c r="M15">
        <v>1963</v>
      </c>
      <c r="N15">
        <v>5826</v>
      </c>
      <c r="O15">
        <v>571</v>
      </c>
      <c r="P15">
        <v>4885</v>
      </c>
      <c r="Q15">
        <v>1299</v>
      </c>
      <c r="R15">
        <v>480</v>
      </c>
      <c r="S15">
        <v>665</v>
      </c>
      <c r="T15">
        <v>1078</v>
      </c>
      <c r="U15">
        <v>2377</v>
      </c>
      <c r="V15">
        <v>1798</v>
      </c>
      <c r="W15">
        <v>0</v>
      </c>
      <c r="X15">
        <v>10</v>
      </c>
      <c r="Y15">
        <v>65</v>
      </c>
      <c r="Z15">
        <v>18754</v>
      </c>
      <c r="AA15">
        <v>12347</v>
      </c>
      <c r="AB15">
        <v>6441</v>
      </c>
      <c r="AC15">
        <v>115</v>
      </c>
      <c r="AD15">
        <v>24</v>
      </c>
      <c r="AE15">
        <v>17</v>
      </c>
      <c r="AF15">
        <v>1</v>
      </c>
      <c r="AG15">
        <v>158</v>
      </c>
      <c r="AH15">
        <v>50</v>
      </c>
      <c r="AI15">
        <v>0</v>
      </c>
      <c r="AJ15">
        <v>2</v>
      </c>
      <c r="AK15">
        <v>2</v>
      </c>
      <c r="AL15">
        <v>0</v>
      </c>
      <c r="AM15">
        <v>9</v>
      </c>
      <c r="AN15">
        <v>17</v>
      </c>
      <c r="AO15">
        <v>18</v>
      </c>
      <c r="AP15">
        <v>17</v>
      </c>
      <c r="AQ15">
        <v>22</v>
      </c>
      <c r="AR15">
        <v>34</v>
      </c>
      <c r="AS15">
        <v>20</v>
      </c>
      <c r="AT15">
        <v>23</v>
      </c>
      <c r="AU15">
        <v>290</v>
      </c>
      <c r="AV15">
        <v>124</v>
      </c>
      <c r="AW15">
        <v>17</v>
      </c>
      <c r="AX15">
        <v>6</v>
      </c>
      <c r="AY15">
        <v>11</v>
      </c>
      <c r="AZ15">
        <v>1</v>
      </c>
      <c r="BA15">
        <v>2</v>
      </c>
      <c r="BB15">
        <v>9</v>
      </c>
      <c r="BC15">
        <v>1</v>
      </c>
      <c r="BD15">
        <v>49</v>
      </c>
      <c r="BE15">
        <v>1</v>
      </c>
      <c r="BF15">
        <v>6397</v>
      </c>
      <c r="BG15">
        <v>250</v>
      </c>
      <c r="BH15">
        <v>13</v>
      </c>
      <c r="BI15">
        <v>0</v>
      </c>
      <c r="BJ15">
        <v>280</v>
      </c>
      <c r="BK15">
        <v>382</v>
      </c>
      <c r="BL15">
        <v>335</v>
      </c>
      <c r="BM15">
        <v>2112</v>
      </c>
      <c r="BN15">
        <v>1434</v>
      </c>
      <c r="BO15">
        <v>451</v>
      </c>
      <c r="BP15">
        <v>292</v>
      </c>
      <c r="BQ15">
        <v>601</v>
      </c>
      <c r="BR15">
        <v>220</v>
      </c>
      <c r="BS15">
        <v>268</v>
      </c>
      <c r="BT15">
        <v>39</v>
      </c>
      <c r="BU15">
        <v>158</v>
      </c>
      <c r="BV15">
        <v>15</v>
      </c>
      <c r="BW15">
        <v>121</v>
      </c>
    </row>
    <row r="16" spans="1:75" x14ac:dyDescent="0.25">
      <c r="A16" s="2">
        <v>43160</v>
      </c>
      <c r="B16" s="3" t="s">
        <v>78</v>
      </c>
      <c r="C16">
        <v>1</v>
      </c>
      <c r="D16" s="1" t="s">
        <v>88</v>
      </c>
      <c r="E16">
        <v>1414</v>
      </c>
      <c r="F16">
        <v>1505</v>
      </c>
      <c r="G16">
        <v>3719</v>
      </c>
      <c r="H16">
        <v>930</v>
      </c>
      <c r="I16">
        <v>3711</v>
      </c>
      <c r="J16">
        <v>3857</v>
      </c>
      <c r="K16">
        <v>1259</v>
      </c>
      <c r="L16">
        <v>5237</v>
      </c>
      <c r="M16">
        <v>2331</v>
      </c>
      <c r="N16">
        <v>6971</v>
      </c>
      <c r="O16">
        <v>597</v>
      </c>
      <c r="P16">
        <v>5904</v>
      </c>
      <c r="Q16">
        <v>1212</v>
      </c>
      <c r="R16">
        <v>936</v>
      </c>
      <c r="S16">
        <v>639</v>
      </c>
      <c r="T16">
        <v>1079</v>
      </c>
      <c r="U16">
        <v>2641</v>
      </c>
      <c r="V16">
        <v>2167</v>
      </c>
      <c r="W16">
        <v>0</v>
      </c>
      <c r="X16">
        <v>2</v>
      </c>
      <c r="Y16">
        <v>70</v>
      </c>
      <c r="Z16">
        <v>21626</v>
      </c>
      <c r="AA16">
        <v>15339</v>
      </c>
      <c r="AB16">
        <v>7433</v>
      </c>
      <c r="AC16">
        <v>41</v>
      </c>
      <c r="AD16">
        <v>33</v>
      </c>
      <c r="AE16">
        <v>16</v>
      </c>
      <c r="AF16">
        <v>3</v>
      </c>
      <c r="AG16">
        <v>198</v>
      </c>
      <c r="AH16">
        <v>10</v>
      </c>
      <c r="AI16">
        <v>0</v>
      </c>
      <c r="AJ16">
        <v>5</v>
      </c>
      <c r="AK16">
        <v>1</v>
      </c>
      <c r="AL16">
        <v>1</v>
      </c>
      <c r="AM16">
        <v>5</v>
      </c>
      <c r="AN16">
        <v>22</v>
      </c>
      <c r="AO16">
        <v>38</v>
      </c>
      <c r="AP16">
        <v>18</v>
      </c>
      <c r="AQ16">
        <v>33</v>
      </c>
      <c r="AR16">
        <v>25</v>
      </c>
      <c r="AS16">
        <v>25</v>
      </c>
      <c r="AT16">
        <v>24</v>
      </c>
      <c r="AU16">
        <v>381</v>
      </c>
      <c r="AV16">
        <v>147</v>
      </c>
      <c r="AW16">
        <v>32</v>
      </c>
      <c r="AX16">
        <v>16</v>
      </c>
      <c r="AY16">
        <v>6</v>
      </c>
      <c r="AZ16">
        <v>5</v>
      </c>
      <c r="BA16">
        <v>1</v>
      </c>
      <c r="BB16">
        <v>17</v>
      </c>
      <c r="BC16">
        <v>4</v>
      </c>
      <c r="BD16">
        <v>33</v>
      </c>
      <c r="BE16">
        <v>0</v>
      </c>
      <c r="BF16">
        <v>7568</v>
      </c>
      <c r="BG16">
        <v>260</v>
      </c>
      <c r="BH16">
        <v>12</v>
      </c>
      <c r="BI16">
        <v>0</v>
      </c>
      <c r="BJ16">
        <v>294</v>
      </c>
      <c r="BK16">
        <v>414</v>
      </c>
      <c r="BL16">
        <v>389</v>
      </c>
      <c r="BM16">
        <v>2801</v>
      </c>
      <c r="BN16">
        <v>1776</v>
      </c>
      <c r="BO16">
        <v>421</v>
      </c>
      <c r="BP16">
        <v>250</v>
      </c>
      <c r="BQ16">
        <v>602</v>
      </c>
      <c r="BR16">
        <v>261</v>
      </c>
      <c r="BS16">
        <v>263</v>
      </c>
      <c r="BT16">
        <v>39</v>
      </c>
      <c r="BU16">
        <v>145</v>
      </c>
      <c r="BV16">
        <v>10</v>
      </c>
      <c r="BW16">
        <v>145</v>
      </c>
    </row>
    <row r="17" spans="1:75" x14ac:dyDescent="0.25">
      <c r="A17" s="2">
        <v>43191</v>
      </c>
      <c r="B17" s="3" t="s">
        <v>79</v>
      </c>
      <c r="C17">
        <v>1</v>
      </c>
      <c r="D17" s="1" t="s">
        <v>88</v>
      </c>
      <c r="E17">
        <v>1742</v>
      </c>
      <c r="F17">
        <v>1621</v>
      </c>
      <c r="G17">
        <v>4736</v>
      </c>
      <c r="H17">
        <v>1183</v>
      </c>
      <c r="I17">
        <v>4643</v>
      </c>
      <c r="J17">
        <v>4639</v>
      </c>
      <c r="K17">
        <v>1535</v>
      </c>
      <c r="L17">
        <v>6388</v>
      </c>
      <c r="M17">
        <v>2894</v>
      </c>
      <c r="N17">
        <v>8626</v>
      </c>
      <c r="O17">
        <v>656</v>
      </c>
      <c r="P17">
        <v>7423</v>
      </c>
      <c r="Q17">
        <v>3033</v>
      </c>
      <c r="R17">
        <v>3095</v>
      </c>
      <c r="S17">
        <v>1043</v>
      </c>
      <c r="T17">
        <v>1723</v>
      </c>
      <c r="U17">
        <v>4318</v>
      </c>
      <c r="V17">
        <v>3190</v>
      </c>
      <c r="W17">
        <v>32</v>
      </c>
      <c r="X17">
        <v>8</v>
      </c>
      <c r="Y17">
        <v>97</v>
      </c>
      <c r="Z17">
        <v>29021</v>
      </c>
      <c r="AA17">
        <v>19237</v>
      </c>
      <c r="AB17">
        <v>8807</v>
      </c>
      <c r="AC17">
        <v>88</v>
      </c>
      <c r="AD17">
        <v>32</v>
      </c>
      <c r="AE17">
        <v>12</v>
      </c>
      <c r="AF17">
        <v>1</v>
      </c>
      <c r="AG17">
        <v>180</v>
      </c>
      <c r="AH17">
        <v>6</v>
      </c>
      <c r="AI17">
        <v>1</v>
      </c>
      <c r="AJ17">
        <v>5</v>
      </c>
      <c r="AK17">
        <v>5</v>
      </c>
      <c r="AL17">
        <v>2</v>
      </c>
      <c r="AM17">
        <v>8</v>
      </c>
      <c r="AN17">
        <v>22</v>
      </c>
      <c r="AO17">
        <v>42</v>
      </c>
      <c r="AP17">
        <v>31</v>
      </c>
      <c r="AQ17">
        <v>19</v>
      </c>
      <c r="AR17">
        <v>20</v>
      </c>
      <c r="AS17">
        <v>34</v>
      </c>
      <c r="AT17">
        <v>61</v>
      </c>
      <c r="AU17">
        <v>469</v>
      </c>
      <c r="AV17">
        <v>247</v>
      </c>
      <c r="AW17">
        <v>36</v>
      </c>
      <c r="AX17">
        <v>17</v>
      </c>
      <c r="AY17">
        <v>11</v>
      </c>
      <c r="AZ17">
        <v>3</v>
      </c>
      <c r="BA17">
        <v>3</v>
      </c>
      <c r="BB17">
        <v>7</v>
      </c>
      <c r="BC17">
        <v>3</v>
      </c>
      <c r="BD17">
        <v>32</v>
      </c>
      <c r="BE17">
        <v>2</v>
      </c>
      <c r="BF17">
        <v>9282</v>
      </c>
      <c r="BG17">
        <v>231</v>
      </c>
      <c r="BH17">
        <v>20</v>
      </c>
      <c r="BI17">
        <v>1</v>
      </c>
      <c r="BJ17">
        <v>274</v>
      </c>
      <c r="BK17">
        <v>494</v>
      </c>
      <c r="BL17">
        <v>375</v>
      </c>
      <c r="BM17">
        <v>2121</v>
      </c>
      <c r="BN17">
        <v>1983</v>
      </c>
      <c r="BO17">
        <v>315</v>
      </c>
      <c r="BP17">
        <v>297</v>
      </c>
      <c r="BQ17">
        <v>554</v>
      </c>
      <c r="BR17">
        <v>359</v>
      </c>
      <c r="BS17">
        <v>227</v>
      </c>
      <c r="BT17">
        <v>34</v>
      </c>
      <c r="BU17">
        <v>145</v>
      </c>
      <c r="BV17">
        <v>10</v>
      </c>
      <c r="BW17">
        <v>138</v>
      </c>
    </row>
    <row r="18" spans="1:75" x14ac:dyDescent="0.25">
      <c r="A18" s="2">
        <v>43221</v>
      </c>
      <c r="B18" s="3" t="s">
        <v>80</v>
      </c>
      <c r="C18">
        <v>2</v>
      </c>
      <c r="D18" s="1" t="s">
        <v>88</v>
      </c>
      <c r="E18">
        <v>1499</v>
      </c>
      <c r="F18">
        <v>1268</v>
      </c>
      <c r="G18">
        <v>3357</v>
      </c>
      <c r="H18">
        <v>1065</v>
      </c>
      <c r="I18">
        <v>3531</v>
      </c>
      <c r="J18">
        <v>3658</v>
      </c>
      <c r="K18">
        <v>1574</v>
      </c>
      <c r="L18">
        <v>4737</v>
      </c>
      <c r="M18">
        <v>2452</v>
      </c>
      <c r="N18">
        <v>6650</v>
      </c>
      <c r="O18">
        <v>539</v>
      </c>
      <c r="P18">
        <v>5603</v>
      </c>
      <c r="Q18">
        <v>1587</v>
      </c>
      <c r="R18">
        <v>1372</v>
      </c>
      <c r="S18">
        <v>895</v>
      </c>
      <c r="T18">
        <v>1357</v>
      </c>
      <c r="U18">
        <v>3397</v>
      </c>
      <c r="V18">
        <v>2169</v>
      </c>
      <c r="W18">
        <v>11</v>
      </c>
      <c r="X18">
        <v>5</v>
      </c>
      <c r="Y18">
        <v>25</v>
      </c>
      <c r="Z18">
        <v>22039</v>
      </c>
      <c r="AA18">
        <v>14675</v>
      </c>
      <c r="AB18">
        <v>7263</v>
      </c>
      <c r="AC18">
        <v>65</v>
      </c>
      <c r="AD18">
        <v>26</v>
      </c>
      <c r="AE18">
        <v>10</v>
      </c>
      <c r="AF18">
        <v>17</v>
      </c>
      <c r="AG18">
        <v>173</v>
      </c>
      <c r="AH18">
        <v>11</v>
      </c>
      <c r="AI18">
        <v>0</v>
      </c>
      <c r="AJ18">
        <v>5</v>
      </c>
      <c r="AK18">
        <v>4</v>
      </c>
      <c r="AL18">
        <v>5</v>
      </c>
      <c r="AM18">
        <v>10</v>
      </c>
      <c r="AN18">
        <v>24</v>
      </c>
      <c r="AO18">
        <v>23</v>
      </c>
      <c r="AP18">
        <v>19</v>
      </c>
      <c r="AQ18">
        <v>10</v>
      </c>
      <c r="AR18">
        <v>15</v>
      </c>
      <c r="AS18">
        <v>31</v>
      </c>
      <c r="AT18">
        <v>19</v>
      </c>
      <c r="AU18">
        <v>309</v>
      </c>
      <c r="AV18">
        <v>169</v>
      </c>
      <c r="AW18">
        <v>11</v>
      </c>
      <c r="AX18">
        <v>7</v>
      </c>
      <c r="AY18">
        <v>2</v>
      </c>
      <c r="AZ18">
        <v>5</v>
      </c>
      <c r="BA18">
        <v>0</v>
      </c>
      <c r="BB18">
        <v>3</v>
      </c>
      <c r="BC18">
        <v>5</v>
      </c>
      <c r="BD18">
        <v>24</v>
      </c>
      <c r="BE18">
        <v>1</v>
      </c>
      <c r="BF18">
        <v>7189</v>
      </c>
      <c r="BG18">
        <v>237</v>
      </c>
      <c r="BH18">
        <v>24</v>
      </c>
      <c r="BI18">
        <v>0</v>
      </c>
      <c r="BJ18">
        <v>285</v>
      </c>
      <c r="BK18">
        <v>301</v>
      </c>
      <c r="BL18">
        <v>273</v>
      </c>
      <c r="BM18">
        <v>1744</v>
      </c>
      <c r="BN18">
        <v>1993</v>
      </c>
      <c r="BO18">
        <v>391</v>
      </c>
      <c r="BP18">
        <v>299</v>
      </c>
      <c r="BQ18">
        <v>591</v>
      </c>
      <c r="BR18">
        <v>226</v>
      </c>
      <c r="BS18">
        <v>240</v>
      </c>
      <c r="BT18">
        <v>44</v>
      </c>
      <c r="BU18">
        <v>148</v>
      </c>
      <c r="BV18">
        <v>12</v>
      </c>
      <c r="BW18">
        <v>147</v>
      </c>
    </row>
    <row r="19" spans="1:75" x14ac:dyDescent="0.25">
      <c r="A19" s="2">
        <v>43252</v>
      </c>
      <c r="B19" s="3" t="s">
        <v>81</v>
      </c>
      <c r="C19">
        <v>2</v>
      </c>
      <c r="D19" s="1" t="s">
        <v>88</v>
      </c>
      <c r="E19">
        <v>1261</v>
      </c>
      <c r="F19">
        <v>1053</v>
      </c>
      <c r="G19">
        <v>3309</v>
      </c>
      <c r="H19">
        <v>831</v>
      </c>
      <c r="I19">
        <v>3174</v>
      </c>
      <c r="J19">
        <v>3280</v>
      </c>
      <c r="K19">
        <v>1378</v>
      </c>
      <c r="L19">
        <v>4078</v>
      </c>
      <c r="M19">
        <v>2376</v>
      </c>
      <c r="N19">
        <v>6054</v>
      </c>
      <c r="O19">
        <v>400</v>
      </c>
      <c r="P19">
        <v>5357</v>
      </c>
      <c r="Q19">
        <v>1150</v>
      </c>
      <c r="R19">
        <v>821</v>
      </c>
      <c r="S19">
        <v>738</v>
      </c>
      <c r="T19">
        <v>1591</v>
      </c>
      <c r="U19">
        <v>3029</v>
      </c>
      <c r="V19">
        <v>1706</v>
      </c>
      <c r="W19">
        <v>8</v>
      </c>
      <c r="X19">
        <v>3</v>
      </c>
      <c r="Y19">
        <v>31</v>
      </c>
      <c r="Z19">
        <v>20348</v>
      </c>
      <c r="AA19">
        <v>13532</v>
      </c>
      <c r="AB19">
        <v>6644</v>
      </c>
      <c r="AC19">
        <v>73</v>
      </c>
      <c r="AD19">
        <v>25</v>
      </c>
      <c r="AE19">
        <v>17</v>
      </c>
      <c r="AF19">
        <v>0</v>
      </c>
      <c r="AG19">
        <v>222</v>
      </c>
      <c r="AH19">
        <v>7</v>
      </c>
      <c r="AI19">
        <v>0</v>
      </c>
      <c r="AJ19">
        <v>2</v>
      </c>
      <c r="AK19">
        <v>3</v>
      </c>
      <c r="AL19">
        <v>3</v>
      </c>
      <c r="AM19">
        <v>9</v>
      </c>
      <c r="AN19">
        <v>29</v>
      </c>
      <c r="AO19">
        <v>25</v>
      </c>
      <c r="AP19">
        <v>20</v>
      </c>
      <c r="AQ19">
        <v>19</v>
      </c>
      <c r="AR19">
        <v>17</v>
      </c>
      <c r="AS19">
        <v>25</v>
      </c>
      <c r="AT19">
        <v>39</v>
      </c>
      <c r="AU19">
        <v>298</v>
      </c>
      <c r="AV19">
        <v>165</v>
      </c>
      <c r="AW19">
        <v>16</v>
      </c>
      <c r="AX19">
        <v>8</v>
      </c>
      <c r="AY19">
        <v>7</v>
      </c>
      <c r="AZ19">
        <v>5</v>
      </c>
      <c r="BA19">
        <v>0</v>
      </c>
      <c r="BB19">
        <v>5</v>
      </c>
      <c r="BC19">
        <v>2</v>
      </c>
      <c r="BD19">
        <v>12</v>
      </c>
      <c r="BE19">
        <v>3</v>
      </c>
      <c r="BF19">
        <v>6454</v>
      </c>
      <c r="BG19">
        <v>271</v>
      </c>
      <c r="BH19">
        <v>17</v>
      </c>
      <c r="BI19">
        <v>0</v>
      </c>
      <c r="BJ19">
        <v>317</v>
      </c>
      <c r="BK19">
        <v>331</v>
      </c>
      <c r="BL19">
        <v>333</v>
      </c>
      <c r="BM19">
        <v>1573</v>
      </c>
      <c r="BN19">
        <v>1989</v>
      </c>
      <c r="BO19">
        <v>372</v>
      </c>
      <c r="BP19">
        <v>43</v>
      </c>
      <c r="BQ19">
        <v>723</v>
      </c>
      <c r="BR19">
        <v>220</v>
      </c>
      <c r="BS19">
        <v>293</v>
      </c>
      <c r="BT19">
        <v>44</v>
      </c>
      <c r="BU19">
        <v>165</v>
      </c>
      <c r="BV19">
        <v>20</v>
      </c>
      <c r="BW19">
        <v>201</v>
      </c>
    </row>
    <row r="20" spans="1:75" x14ac:dyDescent="0.25">
      <c r="A20" s="2">
        <v>43282</v>
      </c>
      <c r="B20" s="3" t="s">
        <v>82</v>
      </c>
      <c r="C20">
        <v>2</v>
      </c>
      <c r="D20" s="1" t="s">
        <v>88</v>
      </c>
      <c r="E20">
        <v>1172</v>
      </c>
      <c r="F20">
        <v>1185</v>
      </c>
      <c r="G20">
        <v>3609</v>
      </c>
      <c r="H20">
        <v>875</v>
      </c>
      <c r="I20">
        <v>3354</v>
      </c>
      <c r="J20">
        <v>3487</v>
      </c>
      <c r="K20">
        <v>1634</v>
      </c>
      <c r="L20">
        <v>4265</v>
      </c>
      <c r="M20">
        <v>2576</v>
      </c>
      <c r="N20">
        <v>6423</v>
      </c>
      <c r="O20">
        <v>418</v>
      </c>
      <c r="P20">
        <v>5757</v>
      </c>
      <c r="Q20">
        <v>928</v>
      </c>
      <c r="R20">
        <v>521</v>
      </c>
      <c r="S20">
        <v>802</v>
      </c>
      <c r="T20">
        <v>2048</v>
      </c>
      <c r="U20">
        <v>2801</v>
      </c>
      <c r="V20">
        <v>1694</v>
      </c>
      <c r="W20">
        <v>4</v>
      </c>
      <c r="X20">
        <v>3</v>
      </c>
      <c r="Y20">
        <v>28</v>
      </c>
      <c r="Z20">
        <v>20657</v>
      </c>
      <c r="AA20">
        <v>13635</v>
      </c>
      <c r="AB20">
        <v>6686</v>
      </c>
      <c r="AC20">
        <v>68</v>
      </c>
      <c r="AD20">
        <v>23</v>
      </c>
      <c r="AE20">
        <v>13</v>
      </c>
      <c r="AF20">
        <v>3</v>
      </c>
      <c r="AG20">
        <v>221</v>
      </c>
      <c r="AH20">
        <v>4</v>
      </c>
      <c r="AI20">
        <v>0</v>
      </c>
      <c r="AJ20">
        <v>16</v>
      </c>
      <c r="AK20">
        <v>4</v>
      </c>
      <c r="AL20">
        <v>3</v>
      </c>
      <c r="AM20">
        <v>7</v>
      </c>
      <c r="AN20">
        <v>26</v>
      </c>
      <c r="AO20">
        <v>28</v>
      </c>
      <c r="AP20">
        <v>18</v>
      </c>
      <c r="AQ20">
        <v>13</v>
      </c>
      <c r="AR20">
        <v>10</v>
      </c>
      <c r="AS20">
        <v>17</v>
      </c>
      <c r="AT20">
        <v>27</v>
      </c>
      <c r="AU20">
        <v>305</v>
      </c>
      <c r="AV20">
        <v>176</v>
      </c>
      <c r="AW20">
        <v>15</v>
      </c>
      <c r="AX20">
        <v>7</v>
      </c>
      <c r="AY20">
        <v>12</v>
      </c>
      <c r="AZ20">
        <v>1</v>
      </c>
      <c r="BA20">
        <v>0</v>
      </c>
      <c r="BB20">
        <v>1</v>
      </c>
      <c r="BC20">
        <v>2</v>
      </c>
      <c r="BD20">
        <v>34</v>
      </c>
      <c r="BE20">
        <v>1</v>
      </c>
      <c r="BF20">
        <v>6841</v>
      </c>
      <c r="BG20">
        <v>264</v>
      </c>
      <c r="BH20">
        <v>30</v>
      </c>
      <c r="BI20">
        <v>0</v>
      </c>
      <c r="BJ20">
        <v>320</v>
      </c>
      <c r="BK20">
        <v>315</v>
      </c>
      <c r="BL20">
        <v>385</v>
      </c>
      <c r="BM20">
        <v>1620</v>
      </c>
      <c r="BN20">
        <v>2531</v>
      </c>
      <c r="BO20">
        <v>376</v>
      </c>
      <c r="BP20">
        <v>253</v>
      </c>
      <c r="BQ20">
        <v>685</v>
      </c>
      <c r="BR20">
        <v>248</v>
      </c>
      <c r="BS20">
        <v>275</v>
      </c>
      <c r="BT20">
        <v>60</v>
      </c>
      <c r="BU20">
        <v>170</v>
      </c>
      <c r="BV20">
        <v>11</v>
      </c>
      <c r="BW20">
        <v>169</v>
      </c>
    </row>
    <row r="21" spans="1:75" x14ac:dyDescent="0.25">
      <c r="A21" s="2">
        <v>43313</v>
      </c>
      <c r="B21" s="3" t="s">
        <v>83</v>
      </c>
      <c r="C21">
        <v>2</v>
      </c>
      <c r="D21" s="1" t="s">
        <v>88</v>
      </c>
      <c r="E21">
        <v>1326</v>
      </c>
      <c r="F21">
        <v>1154</v>
      </c>
      <c r="G21">
        <v>4475</v>
      </c>
      <c r="H21">
        <v>1030</v>
      </c>
      <c r="I21">
        <v>3872</v>
      </c>
      <c r="J21">
        <v>4113</v>
      </c>
      <c r="K21">
        <v>1096</v>
      </c>
      <c r="L21">
        <v>5003</v>
      </c>
      <c r="M21">
        <v>2982</v>
      </c>
      <c r="N21">
        <v>7279</v>
      </c>
      <c r="O21">
        <v>706</v>
      </c>
      <c r="P21">
        <v>6639</v>
      </c>
      <c r="Q21">
        <v>1744</v>
      </c>
      <c r="R21">
        <v>1689</v>
      </c>
      <c r="S21">
        <v>676</v>
      </c>
      <c r="T21">
        <v>1598</v>
      </c>
      <c r="U21">
        <v>3316</v>
      </c>
      <c r="V21">
        <v>2053</v>
      </c>
      <c r="W21">
        <v>9</v>
      </c>
      <c r="X21">
        <v>6</v>
      </c>
      <c r="Y21">
        <v>43</v>
      </c>
      <c r="Z21">
        <v>24404</v>
      </c>
      <c r="AA21">
        <v>16086</v>
      </c>
      <c r="AB21">
        <v>7804</v>
      </c>
      <c r="AC21">
        <v>58</v>
      </c>
      <c r="AD21">
        <v>34</v>
      </c>
      <c r="AE21">
        <v>34</v>
      </c>
      <c r="AF21">
        <v>2</v>
      </c>
      <c r="AG21">
        <v>218</v>
      </c>
      <c r="AH21">
        <v>16</v>
      </c>
      <c r="AI21">
        <v>1</v>
      </c>
      <c r="AJ21">
        <v>9</v>
      </c>
      <c r="AK21">
        <v>1</v>
      </c>
      <c r="AL21">
        <v>0</v>
      </c>
      <c r="AM21">
        <v>10</v>
      </c>
      <c r="AN21">
        <v>29</v>
      </c>
      <c r="AO21">
        <v>47</v>
      </c>
      <c r="AP21">
        <v>19</v>
      </c>
      <c r="AQ21">
        <v>30</v>
      </c>
      <c r="AR21">
        <v>21</v>
      </c>
      <c r="AS21">
        <v>15</v>
      </c>
      <c r="AT21">
        <v>30</v>
      </c>
      <c r="AU21">
        <v>436</v>
      </c>
      <c r="AV21">
        <v>217</v>
      </c>
      <c r="AW21">
        <v>32</v>
      </c>
      <c r="AX21">
        <v>12</v>
      </c>
      <c r="AY21">
        <v>14</v>
      </c>
      <c r="AZ21">
        <v>3</v>
      </c>
      <c r="BA21">
        <v>3</v>
      </c>
      <c r="BB21">
        <v>10</v>
      </c>
      <c r="BC21">
        <v>5</v>
      </c>
      <c r="BD21">
        <v>62</v>
      </c>
      <c r="BE21">
        <v>0</v>
      </c>
      <c r="BF21">
        <v>7985</v>
      </c>
      <c r="BG21">
        <v>304</v>
      </c>
      <c r="BH21">
        <v>20</v>
      </c>
      <c r="BI21">
        <v>1</v>
      </c>
      <c r="BJ21">
        <v>354</v>
      </c>
      <c r="BK21">
        <v>478</v>
      </c>
      <c r="BL21">
        <v>363</v>
      </c>
      <c r="BM21">
        <v>2398</v>
      </c>
      <c r="BN21">
        <v>3426</v>
      </c>
      <c r="BO21">
        <v>535</v>
      </c>
      <c r="BP21">
        <v>386</v>
      </c>
      <c r="BQ21">
        <v>674</v>
      </c>
      <c r="BR21">
        <v>358</v>
      </c>
      <c r="BS21">
        <v>231</v>
      </c>
      <c r="BT21">
        <v>63</v>
      </c>
      <c r="BU21">
        <v>169</v>
      </c>
      <c r="BV21">
        <v>22</v>
      </c>
      <c r="BW21">
        <v>189</v>
      </c>
    </row>
    <row r="22" spans="1:75" x14ac:dyDescent="0.25">
      <c r="A22" s="2">
        <v>43344</v>
      </c>
      <c r="B22" s="3" t="s">
        <v>84</v>
      </c>
      <c r="C22">
        <v>3</v>
      </c>
      <c r="D22" s="1" t="s">
        <v>88</v>
      </c>
      <c r="E22">
        <v>1318</v>
      </c>
      <c r="F22">
        <v>1190</v>
      </c>
      <c r="G22">
        <v>4308</v>
      </c>
      <c r="H22">
        <v>1010</v>
      </c>
      <c r="I22">
        <v>3843</v>
      </c>
      <c r="J22">
        <v>3983</v>
      </c>
      <c r="K22">
        <v>1190</v>
      </c>
      <c r="L22">
        <v>4919</v>
      </c>
      <c r="M22">
        <v>2907</v>
      </c>
      <c r="N22">
        <v>6998</v>
      </c>
      <c r="O22">
        <v>828</v>
      </c>
      <c r="P22">
        <v>5583</v>
      </c>
      <c r="Q22">
        <v>931</v>
      </c>
      <c r="R22">
        <v>869</v>
      </c>
      <c r="S22">
        <v>632</v>
      </c>
      <c r="T22">
        <v>1163</v>
      </c>
      <c r="U22">
        <v>2758</v>
      </c>
      <c r="V22">
        <v>2080</v>
      </c>
      <c r="W22">
        <v>8</v>
      </c>
      <c r="X22">
        <v>6</v>
      </c>
      <c r="Y22">
        <v>27</v>
      </c>
      <c r="Z22">
        <v>22069</v>
      </c>
      <c r="AA22">
        <v>15698</v>
      </c>
      <c r="AB22">
        <v>6981</v>
      </c>
      <c r="AC22">
        <v>43</v>
      </c>
      <c r="AD22">
        <v>31</v>
      </c>
      <c r="AE22">
        <v>25</v>
      </c>
      <c r="AF22">
        <v>0</v>
      </c>
      <c r="AG22">
        <v>261</v>
      </c>
      <c r="AH22">
        <v>17</v>
      </c>
      <c r="AI22">
        <v>3</v>
      </c>
      <c r="AJ22">
        <v>13</v>
      </c>
      <c r="AK22">
        <v>5</v>
      </c>
      <c r="AL22">
        <v>1</v>
      </c>
      <c r="AM22">
        <v>15</v>
      </c>
      <c r="AN22">
        <v>38</v>
      </c>
      <c r="AO22">
        <v>76</v>
      </c>
      <c r="AP22">
        <v>19</v>
      </c>
      <c r="AQ22">
        <v>18</v>
      </c>
      <c r="AR22">
        <v>27</v>
      </c>
      <c r="AS22">
        <v>15</v>
      </c>
      <c r="AT22">
        <v>32</v>
      </c>
      <c r="AU22">
        <v>518</v>
      </c>
      <c r="AV22">
        <v>256</v>
      </c>
      <c r="AW22">
        <v>24</v>
      </c>
      <c r="AX22">
        <v>7</v>
      </c>
      <c r="AY22">
        <v>4</v>
      </c>
      <c r="AZ22">
        <v>6</v>
      </c>
      <c r="BA22">
        <v>2</v>
      </c>
      <c r="BB22">
        <v>21</v>
      </c>
      <c r="BC22">
        <v>1</v>
      </c>
      <c r="BD22">
        <v>110</v>
      </c>
      <c r="BE22">
        <v>1</v>
      </c>
      <c r="BF22">
        <v>7826</v>
      </c>
      <c r="BG22">
        <v>334</v>
      </c>
      <c r="BH22">
        <v>34</v>
      </c>
      <c r="BI22">
        <v>3</v>
      </c>
      <c r="BJ22">
        <v>409</v>
      </c>
      <c r="BK22">
        <v>433</v>
      </c>
      <c r="BL22">
        <v>447</v>
      </c>
      <c r="BM22">
        <v>2548</v>
      </c>
      <c r="BN22">
        <v>3410</v>
      </c>
      <c r="BO22">
        <v>420</v>
      </c>
      <c r="BP22">
        <v>395</v>
      </c>
      <c r="BQ22">
        <v>670</v>
      </c>
      <c r="BR22">
        <v>431</v>
      </c>
      <c r="BS22">
        <v>226</v>
      </c>
      <c r="BT22">
        <v>61</v>
      </c>
      <c r="BU22">
        <v>172</v>
      </c>
      <c r="BV22">
        <v>30</v>
      </c>
      <c r="BW22">
        <v>181</v>
      </c>
    </row>
    <row r="23" spans="1:75" x14ac:dyDescent="0.25">
      <c r="A23" s="2">
        <v>43374</v>
      </c>
      <c r="B23" s="3" t="s">
        <v>85</v>
      </c>
      <c r="C23">
        <v>3</v>
      </c>
      <c r="D23" s="1" t="s">
        <v>88</v>
      </c>
      <c r="E23">
        <v>1224</v>
      </c>
      <c r="F23">
        <v>1103</v>
      </c>
      <c r="G23">
        <v>4177</v>
      </c>
      <c r="H23">
        <v>982</v>
      </c>
      <c r="I23">
        <v>3630</v>
      </c>
      <c r="J23">
        <v>3856</v>
      </c>
      <c r="K23">
        <v>975</v>
      </c>
      <c r="L23">
        <v>4794</v>
      </c>
      <c r="M23">
        <v>2692</v>
      </c>
      <c r="N23">
        <v>6850</v>
      </c>
      <c r="O23">
        <v>636</v>
      </c>
      <c r="P23">
        <v>6301</v>
      </c>
      <c r="Q23">
        <v>1940</v>
      </c>
      <c r="R23">
        <v>1699</v>
      </c>
      <c r="S23">
        <v>689</v>
      </c>
      <c r="T23">
        <v>2376</v>
      </c>
      <c r="U23">
        <v>3558</v>
      </c>
      <c r="V23">
        <v>1879</v>
      </c>
      <c r="W23">
        <v>25</v>
      </c>
      <c r="X23">
        <v>3</v>
      </c>
      <c r="Y23">
        <v>77</v>
      </c>
      <c r="Z23">
        <v>23761</v>
      </c>
      <c r="AA23">
        <v>15037</v>
      </c>
      <c r="AB23">
        <v>7928</v>
      </c>
      <c r="AC23">
        <v>109</v>
      </c>
      <c r="AD23">
        <v>34</v>
      </c>
      <c r="AE23">
        <v>10</v>
      </c>
      <c r="AF23">
        <v>10</v>
      </c>
      <c r="AG23">
        <v>278</v>
      </c>
      <c r="AH23">
        <v>6</v>
      </c>
      <c r="AI23">
        <v>0</v>
      </c>
      <c r="AJ23">
        <v>7</v>
      </c>
      <c r="AK23">
        <v>7</v>
      </c>
      <c r="AL23">
        <v>0</v>
      </c>
      <c r="AM23">
        <v>11</v>
      </c>
      <c r="AN23">
        <v>34</v>
      </c>
      <c r="AO23">
        <v>70</v>
      </c>
      <c r="AP23">
        <v>23</v>
      </c>
      <c r="AQ23">
        <v>25</v>
      </c>
      <c r="AR23">
        <v>28</v>
      </c>
      <c r="AS23">
        <v>13</v>
      </c>
      <c r="AT23">
        <v>30</v>
      </c>
      <c r="AU23">
        <v>501</v>
      </c>
      <c r="AV23">
        <v>238</v>
      </c>
      <c r="AW23">
        <v>12</v>
      </c>
      <c r="AX23">
        <v>21</v>
      </c>
      <c r="AY23">
        <v>13</v>
      </c>
      <c r="AZ23">
        <v>11</v>
      </c>
      <c r="BA23">
        <v>6</v>
      </c>
      <c r="BB23">
        <v>12</v>
      </c>
      <c r="BC23">
        <v>1</v>
      </c>
      <c r="BD23">
        <v>80</v>
      </c>
      <c r="BE23">
        <v>2</v>
      </c>
      <c r="BF23">
        <v>7486</v>
      </c>
      <c r="BG23">
        <v>338</v>
      </c>
      <c r="BH23">
        <v>25</v>
      </c>
      <c r="BI23">
        <v>0</v>
      </c>
      <c r="BJ23">
        <v>397</v>
      </c>
      <c r="BK23">
        <v>470</v>
      </c>
      <c r="BL23">
        <v>442</v>
      </c>
      <c r="BM23">
        <v>2250</v>
      </c>
      <c r="BN23">
        <v>2873</v>
      </c>
      <c r="BO23">
        <v>403</v>
      </c>
      <c r="BP23">
        <v>390</v>
      </c>
      <c r="BQ23">
        <v>663</v>
      </c>
      <c r="BR23">
        <v>394</v>
      </c>
      <c r="BS23">
        <v>203</v>
      </c>
      <c r="BT23">
        <v>75</v>
      </c>
      <c r="BU23">
        <v>154</v>
      </c>
      <c r="BV23">
        <v>22</v>
      </c>
      <c r="BW23">
        <v>209</v>
      </c>
    </row>
    <row r="24" spans="1:75" x14ac:dyDescent="0.25">
      <c r="A24" s="2">
        <v>43405</v>
      </c>
      <c r="B24" s="3" t="s">
        <v>86</v>
      </c>
      <c r="C24">
        <v>3</v>
      </c>
      <c r="D24" s="1" t="s">
        <v>88</v>
      </c>
      <c r="E24">
        <v>1185</v>
      </c>
      <c r="F24">
        <v>1012</v>
      </c>
      <c r="G24">
        <v>3688</v>
      </c>
      <c r="H24">
        <v>870</v>
      </c>
      <c r="I24">
        <v>3313</v>
      </c>
      <c r="J24">
        <v>3442</v>
      </c>
      <c r="K24">
        <v>257</v>
      </c>
      <c r="L24">
        <v>4255</v>
      </c>
      <c r="M24">
        <v>2500</v>
      </c>
      <c r="N24">
        <v>6203</v>
      </c>
      <c r="O24">
        <v>552</v>
      </c>
      <c r="P24">
        <v>5672</v>
      </c>
      <c r="Q24">
        <v>2205</v>
      </c>
      <c r="R24">
        <v>2057</v>
      </c>
      <c r="S24">
        <v>453</v>
      </c>
      <c r="T24">
        <v>877</v>
      </c>
      <c r="U24">
        <v>2550</v>
      </c>
      <c r="V24">
        <v>1972</v>
      </c>
      <c r="W24">
        <v>18</v>
      </c>
      <c r="X24">
        <v>11</v>
      </c>
      <c r="Y24">
        <v>104</v>
      </c>
      <c r="Z24">
        <v>21005</v>
      </c>
      <c r="AA24">
        <v>12689</v>
      </c>
      <c r="AB24">
        <v>6520</v>
      </c>
      <c r="AC24">
        <v>72</v>
      </c>
      <c r="AD24">
        <v>34</v>
      </c>
      <c r="AE24">
        <v>25</v>
      </c>
      <c r="AF24">
        <v>2</v>
      </c>
      <c r="AG24">
        <v>248</v>
      </c>
      <c r="AH24">
        <v>5</v>
      </c>
      <c r="AI24">
        <v>0</v>
      </c>
      <c r="AJ24">
        <v>2</v>
      </c>
      <c r="AK24">
        <v>2</v>
      </c>
      <c r="AL24">
        <v>4</v>
      </c>
      <c r="AM24">
        <v>1</v>
      </c>
      <c r="AN24">
        <v>34</v>
      </c>
      <c r="AO24">
        <v>38</v>
      </c>
      <c r="AP24">
        <v>22</v>
      </c>
      <c r="AQ24">
        <v>19</v>
      </c>
      <c r="AR24">
        <v>32</v>
      </c>
      <c r="AS24">
        <v>22</v>
      </c>
      <c r="AT24">
        <v>21</v>
      </c>
      <c r="AU24">
        <v>563</v>
      </c>
      <c r="AV24">
        <v>196</v>
      </c>
      <c r="AW24">
        <v>16</v>
      </c>
      <c r="AX24">
        <v>16</v>
      </c>
      <c r="AY24">
        <v>18</v>
      </c>
      <c r="AZ24">
        <v>7</v>
      </c>
      <c r="BA24">
        <v>9</v>
      </c>
      <c r="BB24">
        <v>16</v>
      </c>
      <c r="BC24">
        <v>3</v>
      </c>
      <c r="BD24">
        <v>44</v>
      </c>
      <c r="BE24">
        <v>10</v>
      </c>
      <c r="BF24">
        <v>6755</v>
      </c>
      <c r="BG24">
        <v>314</v>
      </c>
      <c r="BH24">
        <v>9</v>
      </c>
      <c r="BI24">
        <v>0</v>
      </c>
      <c r="BJ24">
        <v>357</v>
      </c>
      <c r="BK24">
        <v>469</v>
      </c>
      <c r="BL24">
        <v>396</v>
      </c>
      <c r="BM24">
        <v>2223</v>
      </c>
      <c r="BN24">
        <v>3075</v>
      </c>
      <c r="BO24">
        <v>319</v>
      </c>
      <c r="BP24">
        <v>314</v>
      </c>
      <c r="BQ24">
        <v>666</v>
      </c>
      <c r="BR24">
        <v>325</v>
      </c>
      <c r="BS24">
        <v>195</v>
      </c>
      <c r="BT24">
        <v>90</v>
      </c>
      <c r="BU24">
        <v>111</v>
      </c>
      <c r="BV24">
        <v>12</v>
      </c>
      <c r="BW24">
        <v>258</v>
      </c>
    </row>
    <row r="25" spans="1:75" x14ac:dyDescent="0.25">
      <c r="A25" s="2">
        <v>43435</v>
      </c>
      <c r="B25" s="3" t="s">
        <v>87</v>
      </c>
      <c r="C25">
        <v>3</v>
      </c>
      <c r="D25" s="1" t="s">
        <v>88</v>
      </c>
      <c r="E25">
        <v>946</v>
      </c>
      <c r="F25">
        <v>768</v>
      </c>
      <c r="G25">
        <v>3014</v>
      </c>
      <c r="H25">
        <v>787</v>
      </c>
      <c r="I25">
        <v>2684</v>
      </c>
      <c r="J25">
        <v>2831</v>
      </c>
      <c r="K25">
        <v>632</v>
      </c>
      <c r="L25">
        <v>3679</v>
      </c>
      <c r="M25">
        <v>1836</v>
      </c>
      <c r="N25">
        <v>5024</v>
      </c>
      <c r="O25">
        <v>491</v>
      </c>
      <c r="P25">
        <v>4941</v>
      </c>
      <c r="Q25">
        <v>1590</v>
      </c>
      <c r="R25">
        <v>1061</v>
      </c>
      <c r="S25">
        <v>490</v>
      </c>
      <c r="T25">
        <v>1522</v>
      </c>
      <c r="U25">
        <v>2370</v>
      </c>
      <c r="V25">
        <v>1266</v>
      </c>
      <c r="W25">
        <v>12</v>
      </c>
      <c r="X25">
        <v>9</v>
      </c>
      <c r="Y25">
        <v>67</v>
      </c>
      <c r="Z25">
        <v>17051</v>
      </c>
      <c r="AA25">
        <v>10792</v>
      </c>
      <c r="AB25">
        <v>5349</v>
      </c>
      <c r="AC25">
        <v>53</v>
      </c>
      <c r="AD25">
        <v>45</v>
      </c>
      <c r="AE25">
        <v>22</v>
      </c>
      <c r="AF25">
        <v>2</v>
      </c>
      <c r="AG25">
        <v>222</v>
      </c>
      <c r="AH25">
        <v>12</v>
      </c>
      <c r="AI25">
        <v>1</v>
      </c>
      <c r="AJ25">
        <v>2</v>
      </c>
      <c r="AK25">
        <v>0</v>
      </c>
      <c r="AL25">
        <v>1</v>
      </c>
      <c r="AM25">
        <v>6</v>
      </c>
      <c r="AN25">
        <v>33</v>
      </c>
      <c r="AO25">
        <v>23</v>
      </c>
      <c r="AP25">
        <v>28</v>
      </c>
      <c r="AQ25">
        <v>19</v>
      </c>
      <c r="AR25">
        <v>32</v>
      </c>
      <c r="AS25">
        <v>3</v>
      </c>
      <c r="AT25">
        <v>36</v>
      </c>
      <c r="AU25">
        <v>476</v>
      </c>
      <c r="AV25">
        <v>171</v>
      </c>
      <c r="AW25">
        <v>35</v>
      </c>
      <c r="AX25">
        <v>19</v>
      </c>
      <c r="AY25">
        <v>2</v>
      </c>
      <c r="AZ25">
        <v>1</v>
      </c>
      <c r="BA25">
        <v>0</v>
      </c>
      <c r="BB25">
        <v>10</v>
      </c>
      <c r="BC25">
        <v>5</v>
      </c>
      <c r="BD25">
        <v>77</v>
      </c>
      <c r="BE25">
        <v>0</v>
      </c>
      <c r="BF25">
        <v>5515</v>
      </c>
      <c r="BG25">
        <v>303</v>
      </c>
      <c r="BH25">
        <v>9</v>
      </c>
      <c r="BI25">
        <v>1</v>
      </c>
      <c r="BJ25">
        <v>346</v>
      </c>
      <c r="BK25">
        <v>417</v>
      </c>
      <c r="BL25">
        <v>386</v>
      </c>
      <c r="BM25">
        <v>1516</v>
      </c>
      <c r="BN25">
        <v>3246</v>
      </c>
      <c r="BO25">
        <v>379</v>
      </c>
      <c r="BP25">
        <v>197</v>
      </c>
      <c r="BQ25">
        <v>792</v>
      </c>
      <c r="BR25">
        <v>320</v>
      </c>
      <c r="BS25">
        <v>301</v>
      </c>
      <c r="BT25">
        <v>63</v>
      </c>
      <c r="BU25">
        <v>204</v>
      </c>
      <c r="BV25">
        <v>25</v>
      </c>
      <c r="BW25">
        <v>199</v>
      </c>
    </row>
    <row r="26" spans="1:75" x14ac:dyDescent="0.25">
      <c r="A26" s="2">
        <v>43466</v>
      </c>
      <c r="B26" s="3" t="s">
        <v>75</v>
      </c>
      <c r="C26">
        <v>1</v>
      </c>
      <c r="D26" s="1" t="s">
        <v>89</v>
      </c>
      <c r="E26">
        <v>1132</v>
      </c>
      <c r="F26">
        <v>927</v>
      </c>
      <c r="G26">
        <v>3954</v>
      </c>
      <c r="H26">
        <v>922</v>
      </c>
      <c r="I26">
        <v>3371</v>
      </c>
      <c r="J26">
        <v>3564</v>
      </c>
      <c r="K26">
        <v>800</v>
      </c>
      <c r="L26">
        <v>4554</v>
      </c>
      <c r="M26">
        <v>2381</v>
      </c>
      <c r="N26">
        <v>6271</v>
      </c>
      <c r="O26">
        <v>664</v>
      </c>
      <c r="P26">
        <v>5955</v>
      </c>
      <c r="Q26">
        <v>1865</v>
      </c>
      <c r="R26">
        <v>1450</v>
      </c>
      <c r="S26">
        <v>710</v>
      </c>
      <c r="T26">
        <v>1654</v>
      </c>
      <c r="U26">
        <v>2970</v>
      </c>
      <c r="V26">
        <v>1576</v>
      </c>
      <c r="W26">
        <v>14</v>
      </c>
      <c r="X26">
        <v>4</v>
      </c>
      <c r="Y26">
        <v>51</v>
      </c>
      <c r="Z26">
        <v>24395</v>
      </c>
      <c r="AA26">
        <v>13372</v>
      </c>
      <c r="AB26">
        <v>7055</v>
      </c>
      <c r="AC26">
        <v>42</v>
      </c>
      <c r="AD26">
        <v>30</v>
      </c>
      <c r="AE26">
        <v>32</v>
      </c>
      <c r="AF26">
        <v>0</v>
      </c>
      <c r="AG26">
        <v>167</v>
      </c>
      <c r="AH26">
        <v>6</v>
      </c>
      <c r="AI26">
        <v>1</v>
      </c>
      <c r="AJ26">
        <v>5</v>
      </c>
      <c r="AK26">
        <v>3</v>
      </c>
      <c r="AL26">
        <v>5</v>
      </c>
      <c r="AM26">
        <v>9</v>
      </c>
      <c r="AN26">
        <v>23</v>
      </c>
      <c r="AO26">
        <v>39</v>
      </c>
      <c r="AP26">
        <v>24</v>
      </c>
      <c r="AQ26">
        <v>32</v>
      </c>
      <c r="AR26">
        <v>28</v>
      </c>
      <c r="AS26">
        <v>19</v>
      </c>
      <c r="AT26">
        <v>32</v>
      </c>
      <c r="AU26">
        <v>560</v>
      </c>
      <c r="AV26">
        <v>226</v>
      </c>
      <c r="AW26">
        <v>29</v>
      </c>
      <c r="AX26">
        <v>15</v>
      </c>
      <c r="AY26">
        <v>6</v>
      </c>
      <c r="AZ26">
        <v>2</v>
      </c>
      <c r="BA26">
        <v>5</v>
      </c>
      <c r="BB26">
        <v>7</v>
      </c>
      <c r="BC26">
        <v>1</v>
      </c>
      <c r="BD26">
        <v>115</v>
      </c>
      <c r="BE26">
        <v>1</v>
      </c>
      <c r="BF26">
        <v>6935</v>
      </c>
      <c r="BG26">
        <v>235</v>
      </c>
      <c r="BH26">
        <v>22</v>
      </c>
      <c r="BI26">
        <v>1</v>
      </c>
      <c r="BJ26">
        <v>281</v>
      </c>
      <c r="BK26">
        <v>502</v>
      </c>
      <c r="BL26">
        <v>526</v>
      </c>
      <c r="BM26">
        <v>575</v>
      </c>
      <c r="BN26">
        <v>2893</v>
      </c>
      <c r="BO26">
        <v>416</v>
      </c>
      <c r="BP26">
        <v>225</v>
      </c>
      <c r="BQ26">
        <v>568</v>
      </c>
      <c r="BR26">
        <v>406</v>
      </c>
      <c r="BS26">
        <v>224</v>
      </c>
      <c r="BT26">
        <v>44</v>
      </c>
      <c r="BU26">
        <v>129</v>
      </c>
      <c r="BV26">
        <v>16</v>
      </c>
      <c r="BW26">
        <v>155</v>
      </c>
    </row>
    <row r="27" spans="1:75" x14ac:dyDescent="0.25">
      <c r="A27" s="2">
        <v>43497</v>
      </c>
      <c r="B27" s="3" t="s">
        <v>77</v>
      </c>
      <c r="C27">
        <v>1</v>
      </c>
      <c r="D27" s="1" t="s">
        <v>89</v>
      </c>
      <c r="E27">
        <v>892</v>
      </c>
      <c r="F27">
        <v>766</v>
      </c>
      <c r="G27">
        <v>3105</v>
      </c>
      <c r="H27">
        <v>730</v>
      </c>
      <c r="I27">
        <v>2759</v>
      </c>
      <c r="J27">
        <v>2734</v>
      </c>
      <c r="K27">
        <v>855</v>
      </c>
      <c r="L27">
        <v>3784</v>
      </c>
      <c r="M27">
        <v>1709</v>
      </c>
      <c r="N27">
        <v>5078</v>
      </c>
      <c r="O27">
        <v>415</v>
      </c>
      <c r="P27">
        <v>4801</v>
      </c>
      <c r="Q27">
        <v>1998</v>
      </c>
      <c r="R27">
        <v>970</v>
      </c>
      <c r="S27">
        <v>350</v>
      </c>
      <c r="T27">
        <v>1260</v>
      </c>
      <c r="U27">
        <v>2098</v>
      </c>
      <c r="V27">
        <v>928</v>
      </c>
      <c r="W27">
        <v>14</v>
      </c>
      <c r="X27">
        <v>2</v>
      </c>
      <c r="Y27">
        <v>48</v>
      </c>
      <c r="Z27">
        <v>18415</v>
      </c>
      <c r="AA27">
        <v>8753</v>
      </c>
      <c r="AB27">
        <v>5742</v>
      </c>
      <c r="AC27">
        <v>61</v>
      </c>
      <c r="AD27">
        <v>40</v>
      </c>
      <c r="AE27">
        <v>14</v>
      </c>
      <c r="AF27">
        <v>0</v>
      </c>
      <c r="AG27">
        <v>181</v>
      </c>
      <c r="AH27">
        <v>2</v>
      </c>
      <c r="AI27">
        <v>1</v>
      </c>
      <c r="AJ27">
        <v>6</v>
      </c>
      <c r="AK27">
        <v>7</v>
      </c>
      <c r="AL27">
        <v>0</v>
      </c>
      <c r="AM27">
        <v>4</v>
      </c>
      <c r="AN27">
        <v>28</v>
      </c>
      <c r="AO27">
        <v>32</v>
      </c>
      <c r="AP27">
        <v>33</v>
      </c>
      <c r="AQ27">
        <v>23</v>
      </c>
      <c r="AR27">
        <v>31</v>
      </c>
      <c r="AS27">
        <v>36</v>
      </c>
      <c r="AT27">
        <v>23</v>
      </c>
      <c r="AU27">
        <v>524</v>
      </c>
      <c r="AV27">
        <v>206</v>
      </c>
      <c r="AW27">
        <v>14</v>
      </c>
      <c r="AX27">
        <v>13</v>
      </c>
      <c r="AY27">
        <v>12</v>
      </c>
      <c r="AZ27">
        <v>7</v>
      </c>
      <c r="BA27">
        <v>1</v>
      </c>
      <c r="BB27">
        <v>15</v>
      </c>
      <c r="BC27">
        <v>0</v>
      </c>
      <c r="BD27">
        <v>72</v>
      </c>
      <c r="BE27">
        <v>1</v>
      </c>
      <c r="BF27">
        <v>5493</v>
      </c>
      <c r="BG27">
        <v>237</v>
      </c>
      <c r="BH27">
        <v>17</v>
      </c>
      <c r="BI27">
        <v>1</v>
      </c>
      <c r="BJ27">
        <v>283</v>
      </c>
      <c r="BK27">
        <v>397</v>
      </c>
      <c r="BL27">
        <v>401</v>
      </c>
      <c r="BM27">
        <v>713</v>
      </c>
      <c r="BN27">
        <v>1957</v>
      </c>
      <c r="BO27">
        <v>282</v>
      </c>
      <c r="BP27">
        <v>142</v>
      </c>
      <c r="BQ27">
        <v>447</v>
      </c>
      <c r="BR27">
        <v>340</v>
      </c>
      <c r="BS27">
        <v>177</v>
      </c>
      <c r="BT27">
        <v>34</v>
      </c>
      <c r="BU27">
        <v>102</v>
      </c>
      <c r="BV27">
        <v>12</v>
      </c>
      <c r="BW27">
        <v>122</v>
      </c>
    </row>
    <row r="28" spans="1:75" x14ac:dyDescent="0.25">
      <c r="A28" s="2">
        <v>43525</v>
      </c>
      <c r="B28" s="3" t="s">
        <v>78</v>
      </c>
      <c r="C28">
        <v>1</v>
      </c>
      <c r="D28" s="1" t="s">
        <v>89</v>
      </c>
      <c r="E28">
        <v>1308</v>
      </c>
      <c r="F28">
        <v>1055</v>
      </c>
      <c r="G28">
        <v>3641</v>
      </c>
      <c r="H28">
        <v>795</v>
      </c>
      <c r="I28">
        <v>3348</v>
      </c>
      <c r="J28">
        <v>3451</v>
      </c>
      <c r="K28">
        <v>862</v>
      </c>
      <c r="L28">
        <v>4671</v>
      </c>
      <c r="M28">
        <v>2128</v>
      </c>
      <c r="N28">
        <v>6308</v>
      </c>
      <c r="O28">
        <v>491</v>
      </c>
      <c r="P28">
        <v>5626</v>
      </c>
      <c r="Q28">
        <v>2972</v>
      </c>
      <c r="R28">
        <v>1431</v>
      </c>
      <c r="S28">
        <v>560</v>
      </c>
      <c r="T28">
        <v>1623</v>
      </c>
      <c r="U28">
        <v>3071</v>
      </c>
      <c r="V28">
        <v>1209</v>
      </c>
      <c r="W28">
        <v>24</v>
      </c>
      <c r="X28">
        <v>8</v>
      </c>
      <c r="Y28">
        <v>60</v>
      </c>
      <c r="Z28">
        <v>23194</v>
      </c>
      <c r="AA28">
        <v>10355</v>
      </c>
      <c r="AB28">
        <v>6959</v>
      </c>
      <c r="AC28">
        <v>74</v>
      </c>
      <c r="AD28">
        <v>26</v>
      </c>
      <c r="AE28">
        <v>12</v>
      </c>
      <c r="AF28">
        <v>3</v>
      </c>
      <c r="AG28">
        <v>225</v>
      </c>
      <c r="AH28">
        <v>5</v>
      </c>
      <c r="AI28">
        <v>0</v>
      </c>
      <c r="AJ28">
        <v>2</v>
      </c>
      <c r="AK28">
        <v>11</v>
      </c>
      <c r="AL28">
        <v>3</v>
      </c>
      <c r="AM28">
        <v>10</v>
      </c>
      <c r="AN28">
        <v>37</v>
      </c>
      <c r="AO28">
        <v>33</v>
      </c>
      <c r="AP28">
        <v>31</v>
      </c>
      <c r="AQ28">
        <v>23</v>
      </c>
      <c r="AR28">
        <v>39</v>
      </c>
      <c r="AS28">
        <v>57</v>
      </c>
      <c r="AT28">
        <v>23</v>
      </c>
      <c r="AU28">
        <v>618</v>
      </c>
      <c r="AV28">
        <v>241</v>
      </c>
      <c r="AW28">
        <v>10</v>
      </c>
      <c r="AX28">
        <v>11</v>
      </c>
      <c r="AY28">
        <v>24</v>
      </c>
      <c r="AZ28">
        <v>7</v>
      </c>
      <c r="BA28">
        <v>4</v>
      </c>
      <c r="BB28">
        <v>15</v>
      </c>
      <c r="BC28">
        <v>1</v>
      </c>
      <c r="BD28">
        <v>76</v>
      </c>
      <c r="BE28">
        <v>6</v>
      </c>
      <c r="BF28">
        <v>6799</v>
      </c>
      <c r="BG28">
        <v>271</v>
      </c>
      <c r="BH28">
        <v>26</v>
      </c>
      <c r="BI28">
        <v>0</v>
      </c>
      <c r="BJ28">
        <v>334</v>
      </c>
      <c r="BK28">
        <v>415</v>
      </c>
      <c r="BL28">
        <v>452</v>
      </c>
      <c r="BM28">
        <v>812</v>
      </c>
      <c r="BN28">
        <v>2085</v>
      </c>
      <c r="BO28">
        <v>219</v>
      </c>
      <c r="BP28">
        <v>120</v>
      </c>
      <c r="BQ28">
        <v>714</v>
      </c>
      <c r="BR28">
        <v>389</v>
      </c>
      <c r="BS28">
        <v>274</v>
      </c>
      <c r="BT28">
        <v>72</v>
      </c>
      <c r="BU28">
        <v>178</v>
      </c>
      <c r="BV28">
        <v>16</v>
      </c>
      <c r="BW28">
        <v>174</v>
      </c>
    </row>
    <row r="29" spans="1:75" x14ac:dyDescent="0.25">
      <c r="A29" s="2">
        <v>43556</v>
      </c>
      <c r="B29" s="3" t="s">
        <v>79</v>
      </c>
      <c r="C29">
        <v>1</v>
      </c>
      <c r="D29" s="1" t="s">
        <v>89</v>
      </c>
      <c r="E29">
        <v>1365</v>
      </c>
      <c r="F29">
        <v>894</v>
      </c>
      <c r="G29">
        <v>3718</v>
      </c>
      <c r="H29">
        <v>763</v>
      </c>
      <c r="I29">
        <v>3482</v>
      </c>
      <c r="J29">
        <v>3258</v>
      </c>
      <c r="K29">
        <v>657</v>
      </c>
      <c r="L29">
        <v>4491</v>
      </c>
      <c r="M29">
        <v>2249</v>
      </c>
      <c r="N29">
        <v>6327</v>
      </c>
      <c r="O29">
        <v>413</v>
      </c>
      <c r="P29">
        <v>5160</v>
      </c>
      <c r="Q29">
        <v>1732</v>
      </c>
      <c r="R29">
        <v>1022</v>
      </c>
      <c r="S29">
        <v>600</v>
      </c>
      <c r="T29">
        <v>1010</v>
      </c>
      <c r="U29">
        <v>2680</v>
      </c>
      <c r="V29">
        <v>1300</v>
      </c>
      <c r="W29">
        <v>13</v>
      </c>
      <c r="X29">
        <v>4</v>
      </c>
      <c r="Y29">
        <v>47</v>
      </c>
      <c r="Z29">
        <v>23125</v>
      </c>
      <c r="AA29">
        <v>10638</v>
      </c>
      <c r="AB29">
        <v>6631</v>
      </c>
      <c r="AC29">
        <v>37</v>
      </c>
      <c r="AD29">
        <v>28</v>
      </c>
      <c r="AE29">
        <v>10</v>
      </c>
      <c r="AF29">
        <v>1</v>
      </c>
      <c r="AG29">
        <v>179</v>
      </c>
      <c r="AH29">
        <v>4</v>
      </c>
      <c r="AI29">
        <v>1</v>
      </c>
      <c r="AJ29">
        <v>2</v>
      </c>
      <c r="AK29">
        <v>3</v>
      </c>
      <c r="AL29">
        <v>0</v>
      </c>
      <c r="AM29">
        <v>8</v>
      </c>
      <c r="AN29">
        <v>29</v>
      </c>
      <c r="AO29">
        <v>28</v>
      </c>
      <c r="AP29">
        <v>18</v>
      </c>
      <c r="AQ29">
        <v>29</v>
      </c>
      <c r="AR29">
        <v>33</v>
      </c>
      <c r="AS29">
        <v>44</v>
      </c>
      <c r="AT29">
        <v>29</v>
      </c>
      <c r="AU29">
        <v>570</v>
      </c>
      <c r="AV29">
        <v>189</v>
      </c>
      <c r="AW29">
        <v>19</v>
      </c>
      <c r="AX29">
        <v>4</v>
      </c>
      <c r="AY29">
        <v>10</v>
      </c>
      <c r="AZ29">
        <v>3</v>
      </c>
      <c r="BA29">
        <v>0</v>
      </c>
      <c r="BB29">
        <v>16</v>
      </c>
      <c r="BC29">
        <v>6</v>
      </c>
      <c r="BD29">
        <v>67</v>
      </c>
      <c r="BE29">
        <v>1</v>
      </c>
      <c r="BF29">
        <v>6740</v>
      </c>
      <c r="BG29">
        <v>222</v>
      </c>
      <c r="BH29">
        <v>13</v>
      </c>
      <c r="BI29">
        <v>1</v>
      </c>
      <c r="BJ29">
        <v>265</v>
      </c>
      <c r="BK29">
        <v>607</v>
      </c>
      <c r="BL29">
        <v>425</v>
      </c>
      <c r="BM29">
        <v>717</v>
      </c>
      <c r="BN29">
        <v>2237</v>
      </c>
      <c r="BO29">
        <v>315</v>
      </c>
      <c r="BP29">
        <v>0</v>
      </c>
      <c r="BQ29">
        <v>566</v>
      </c>
      <c r="BR29">
        <v>314</v>
      </c>
      <c r="BS29">
        <v>220</v>
      </c>
      <c r="BT29">
        <v>63</v>
      </c>
      <c r="BU29">
        <v>127</v>
      </c>
      <c r="BV29">
        <v>11</v>
      </c>
      <c r="BW29">
        <v>145</v>
      </c>
    </row>
    <row r="30" spans="1:75" x14ac:dyDescent="0.25">
      <c r="A30" s="2">
        <v>43586</v>
      </c>
      <c r="B30" s="3" t="s">
        <v>80</v>
      </c>
      <c r="C30">
        <v>2</v>
      </c>
      <c r="D30" s="1" t="s">
        <v>89</v>
      </c>
      <c r="E30">
        <v>1594</v>
      </c>
      <c r="F30">
        <v>1114</v>
      </c>
      <c r="G30">
        <v>4380</v>
      </c>
      <c r="H30">
        <v>982</v>
      </c>
      <c r="I30">
        <v>3979</v>
      </c>
      <c r="J30">
        <v>4093</v>
      </c>
      <c r="K30">
        <v>738</v>
      </c>
      <c r="L30">
        <v>5412</v>
      </c>
      <c r="M30">
        <v>2660</v>
      </c>
      <c r="N30">
        <v>7549</v>
      </c>
      <c r="O30">
        <v>523</v>
      </c>
      <c r="P30">
        <v>5765</v>
      </c>
      <c r="Q30">
        <v>2354</v>
      </c>
      <c r="R30">
        <v>1617</v>
      </c>
      <c r="S30">
        <v>812</v>
      </c>
      <c r="T30">
        <v>2074</v>
      </c>
      <c r="U30">
        <v>3507</v>
      </c>
      <c r="V30">
        <v>1170</v>
      </c>
      <c r="W30">
        <v>8</v>
      </c>
      <c r="X30">
        <v>10</v>
      </c>
      <c r="Y30">
        <v>60</v>
      </c>
      <c r="Z30">
        <v>28306</v>
      </c>
      <c r="AA30">
        <v>15849</v>
      </c>
      <c r="AB30">
        <v>8032</v>
      </c>
      <c r="AC30">
        <v>124.8</v>
      </c>
      <c r="AD30">
        <v>32</v>
      </c>
      <c r="AE30">
        <v>21</v>
      </c>
      <c r="AF30">
        <v>3</v>
      </c>
      <c r="AG30">
        <v>217</v>
      </c>
      <c r="AH30">
        <v>14</v>
      </c>
      <c r="AI30">
        <v>2</v>
      </c>
      <c r="AJ30">
        <v>3</v>
      </c>
      <c r="AK30">
        <v>6</v>
      </c>
      <c r="AL30">
        <v>3</v>
      </c>
      <c r="AM30">
        <v>10</v>
      </c>
      <c r="AN30">
        <v>27</v>
      </c>
      <c r="AO30">
        <v>36</v>
      </c>
      <c r="AP30">
        <v>25</v>
      </c>
      <c r="AQ30">
        <v>9</v>
      </c>
      <c r="AR30">
        <v>22</v>
      </c>
      <c r="AS30">
        <v>42</v>
      </c>
      <c r="AT30">
        <v>25</v>
      </c>
      <c r="AU30">
        <v>810</v>
      </c>
      <c r="AV30">
        <v>267</v>
      </c>
      <c r="AW30">
        <v>20</v>
      </c>
      <c r="AX30">
        <v>11</v>
      </c>
      <c r="AY30">
        <v>11</v>
      </c>
      <c r="AZ30">
        <v>2</v>
      </c>
      <c r="BA30">
        <v>1</v>
      </c>
      <c r="BB30">
        <v>10</v>
      </c>
      <c r="BC30">
        <v>0</v>
      </c>
      <c r="BD30">
        <v>73</v>
      </c>
      <c r="BE30">
        <v>3</v>
      </c>
      <c r="BF30">
        <v>8070</v>
      </c>
      <c r="BG30">
        <v>287</v>
      </c>
      <c r="BH30">
        <v>22</v>
      </c>
      <c r="BI30">
        <v>2</v>
      </c>
      <c r="BJ30">
        <v>338</v>
      </c>
      <c r="BK30">
        <v>674</v>
      </c>
      <c r="BL30">
        <v>487</v>
      </c>
      <c r="BM30">
        <v>2085</v>
      </c>
      <c r="BN30">
        <v>2617</v>
      </c>
      <c r="BO30">
        <v>277</v>
      </c>
      <c r="BP30">
        <v>0</v>
      </c>
      <c r="BQ30">
        <v>548</v>
      </c>
      <c r="BR30">
        <v>395</v>
      </c>
      <c r="BS30">
        <v>202</v>
      </c>
      <c r="BT30">
        <v>65</v>
      </c>
      <c r="BU30">
        <v>149</v>
      </c>
      <c r="BV30">
        <v>11</v>
      </c>
      <c r="BW30">
        <v>121</v>
      </c>
    </row>
    <row r="31" spans="1:75" x14ac:dyDescent="0.25">
      <c r="A31" s="2">
        <v>43617</v>
      </c>
      <c r="B31" s="3" t="s">
        <v>81</v>
      </c>
      <c r="C31">
        <v>2</v>
      </c>
      <c r="D31" s="1" t="s">
        <v>89</v>
      </c>
      <c r="E31">
        <v>1466</v>
      </c>
      <c r="F31">
        <v>951</v>
      </c>
      <c r="G31">
        <v>4167</v>
      </c>
      <c r="H31">
        <v>956</v>
      </c>
      <c r="I31">
        <v>3693</v>
      </c>
      <c r="J31">
        <v>3848</v>
      </c>
      <c r="K31">
        <v>925</v>
      </c>
      <c r="L31">
        <v>5241</v>
      </c>
      <c r="M31">
        <v>2300</v>
      </c>
      <c r="N31">
        <v>6957</v>
      </c>
      <c r="O31">
        <v>584</v>
      </c>
      <c r="P31">
        <v>5104</v>
      </c>
      <c r="Q31">
        <v>1793</v>
      </c>
      <c r="R31">
        <v>986</v>
      </c>
      <c r="S31">
        <v>638</v>
      </c>
      <c r="T31">
        <v>1499</v>
      </c>
      <c r="U31">
        <v>2410</v>
      </c>
      <c r="V31">
        <v>1052</v>
      </c>
      <c r="W31">
        <v>33</v>
      </c>
      <c r="X31">
        <v>11</v>
      </c>
      <c r="Y31">
        <v>56</v>
      </c>
      <c r="Z31">
        <v>25792</v>
      </c>
      <c r="AA31">
        <v>14614</v>
      </c>
      <c r="AB31">
        <v>7756</v>
      </c>
      <c r="AC31">
        <v>81.599999999999994</v>
      </c>
      <c r="AD31">
        <v>20</v>
      </c>
      <c r="AE31">
        <v>19</v>
      </c>
      <c r="AF31">
        <v>1</v>
      </c>
      <c r="AG31">
        <v>194</v>
      </c>
      <c r="AH31">
        <v>2</v>
      </c>
      <c r="AI31">
        <v>0</v>
      </c>
      <c r="AJ31">
        <v>3</v>
      </c>
      <c r="AK31">
        <v>4</v>
      </c>
      <c r="AL31">
        <v>0</v>
      </c>
      <c r="AM31">
        <v>7</v>
      </c>
      <c r="AN31">
        <v>12</v>
      </c>
      <c r="AO31">
        <v>25</v>
      </c>
      <c r="AP31">
        <v>23</v>
      </c>
      <c r="AQ31">
        <v>16</v>
      </c>
      <c r="AR31">
        <v>27</v>
      </c>
      <c r="AS31">
        <v>32</v>
      </c>
      <c r="AT31">
        <v>23</v>
      </c>
      <c r="AU31">
        <v>612</v>
      </c>
      <c r="AV31">
        <v>186</v>
      </c>
      <c r="AW31">
        <v>7</v>
      </c>
      <c r="AX31">
        <v>10</v>
      </c>
      <c r="AY31">
        <v>19</v>
      </c>
      <c r="AZ31">
        <v>5</v>
      </c>
      <c r="BA31">
        <v>7</v>
      </c>
      <c r="BB31">
        <v>16</v>
      </c>
      <c r="BC31">
        <v>3</v>
      </c>
      <c r="BD31">
        <v>74</v>
      </c>
      <c r="BE31">
        <v>5</v>
      </c>
      <c r="BF31">
        <v>7540</v>
      </c>
      <c r="BG31">
        <v>236</v>
      </c>
      <c r="BH31">
        <v>14</v>
      </c>
      <c r="BI31">
        <v>0</v>
      </c>
      <c r="BJ31">
        <v>262</v>
      </c>
      <c r="BK31">
        <v>771</v>
      </c>
      <c r="BL31">
        <v>542</v>
      </c>
      <c r="BM31">
        <v>2810</v>
      </c>
      <c r="BN31">
        <v>2725</v>
      </c>
      <c r="BO31">
        <v>269</v>
      </c>
      <c r="BP31">
        <v>83</v>
      </c>
      <c r="BQ31">
        <v>596</v>
      </c>
      <c r="BR31">
        <v>327</v>
      </c>
      <c r="BS31">
        <v>212</v>
      </c>
      <c r="BT31">
        <v>73</v>
      </c>
      <c r="BU31">
        <v>139</v>
      </c>
      <c r="BV31">
        <v>21</v>
      </c>
      <c r="BW31">
        <v>151</v>
      </c>
    </row>
    <row r="32" spans="1:75" x14ac:dyDescent="0.25">
      <c r="A32" s="2">
        <v>43647</v>
      </c>
      <c r="B32" s="3" t="s">
        <v>82</v>
      </c>
      <c r="C32">
        <v>2</v>
      </c>
      <c r="D32" s="1" t="s">
        <v>89</v>
      </c>
      <c r="E32">
        <v>1191</v>
      </c>
      <c r="F32">
        <v>938</v>
      </c>
      <c r="G32">
        <v>4178</v>
      </c>
      <c r="H32">
        <v>962</v>
      </c>
      <c r="I32">
        <v>3554</v>
      </c>
      <c r="J32">
        <v>3716</v>
      </c>
      <c r="K32">
        <v>820</v>
      </c>
      <c r="L32">
        <v>5119</v>
      </c>
      <c r="M32">
        <v>2151</v>
      </c>
      <c r="N32">
        <v>6820</v>
      </c>
      <c r="O32">
        <v>450</v>
      </c>
      <c r="P32">
        <v>5696</v>
      </c>
      <c r="Q32">
        <v>1371</v>
      </c>
      <c r="R32">
        <v>962</v>
      </c>
      <c r="S32">
        <v>520</v>
      </c>
      <c r="T32">
        <v>1641</v>
      </c>
      <c r="U32">
        <v>2341</v>
      </c>
      <c r="V32">
        <v>1179</v>
      </c>
      <c r="W32">
        <v>14</v>
      </c>
      <c r="X32">
        <v>12</v>
      </c>
      <c r="Y32">
        <v>68</v>
      </c>
      <c r="Z32">
        <v>24414</v>
      </c>
      <c r="AA32">
        <v>14725</v>
      </c>
      <c r="AB32">
        <v>7653</v>
      </c>
      <c r="AC32">
        <v>46.8</v>
      </c>
      <c r="AD32">
        <v>20</v>
      </c>
      <c r="AE32">
        <v>13</v>
      </c>
      <c r="AF32">
        <v>0</v>
      </c>
      <c r="AG32">
        <v>173</v>
      </c>
      <c r="AH32">
        <v>4</v>
      </c>
      <c r="AI32">
        <v>2</v>
      </c>
      <c r="AJ32">
        <v>9</v>
      </c>
      <c r="AK32">
        <v>2</v>
      </c>
      <c r="AL32">
        <v>5</v>
      </c>
      <c r="AM32">
        <v>4</v>
      </c>
      <c r="AN32">
        <v>18</v>
      </c>
      <c r="AO32">
        <v>32</v>
      </c>
      <c r="AP32">
        <v>15</v>
      </c>
      <c r="AQ32">
        <v>25</v>
      </c>
      <c r="AR32">
        <v>26</v>
      </c>
      <c r="AS32">
        <v>31</v>
      </c>
      <c r="AT32">
        <v>23</v>
      </c>
      <c r="AU32">
        <v>587</v>
      </c>
      <c r="AV32">
        <v>174</v>
      </c>
      <c r="AW32">
        <v>10</v>
      </c>
      <c r="AX32">
        <v>10</v>
      </c>
      <c r="AY32">
        <v>8</v>
      </c>
      <c r="AZ32">
        <v>2</v>
      </c>
      <c r="BA32">
        <v>10</v>
      </c>
      <c r="BB32">
        <v>14</v>
      </c>
      <c r="BC32">
        <v>1</v>
      </c>
      <c r="BD32">
        <v>52</v>
      </c>
      <c r="BE32">
        <v>4</v>
      </c>
      <c r="BF32">
        <v>7269</v>
      </c>
      <c r="BG32">
        <v>210</v>
      </c>
      <c r="BH32">
        <v>20</v>
      </c>
      <c r="BI32">
        <v>2</v>
      </c>
      <c r="BJ32">
        <v>250</v>
      </c>
      <c r="BK32">
        <v>628</v>
      </c>
      <c r="BL32">
        <v>543</v>
      </c>
      <c r="BM32">
        <v>4413</v>
      </c>
      <c r="BN32">
        <v>1715</v>
      </c>
      <c r="BO32">
        <v>284</v>
      </c>
      <c r="BP32">
        <v>204</v>
      </c>
      <c r="BQ32">
        <v>555</v>
      </c>
      <c r="BR32">
        <v>281</v>
      </c>
      <c r="BS32">
        <v>203</v>
      </c>
      <c r="BT32">
        <v>65</v>
      </c>
      <c r="BU32">
        <v>152</v>
      </c>
      <c r="BV32">
        <v>21</v>
      </c>
      <c r="BW32">
        <v>114</v>
      </c>
    </row>
    <row r="33" spans="1:75" x14ac:dyDescent="0.25">
      <c r="A33" s="2">
        <v>43678</v>
      </c>
      <c r="B33" s="3" t="s">
        <v>83</v>
      </c>
      <c r="C33">
        <v>2</v>
      </c>
      <c r="D33" s="1" t="s">
        <v>89</v>
      </c>
      <c r="E33">
        <v>1315</v>
      </c>
      <c r="F33">
        <v>1248</v>
      </c>
      <c r="G33">
        <v>4183</v>
      </c>
      <c r="H33">
        <v>1074</v>
      </c>
      <c r="I33">
        <v>3902</v>
      </c>
      <c r="J33">
        <v>3914</v>
      </c>
      <c r="K33">
        <v>852</v>
      </c>
      <c r="L33">
        <v>5584</v>
      </c>
      <c r="M33">
        <v>2232</v>
      </c>
      <c r="N33">
        <v>7405</v>
      </c>
      <c r="O33">
        <v>411</v>
      </c>
      <c r="P33">
        <v>5125</v>
      </c>
      <c r="Q33">
        <v>1715</v>
      </c>
      <c r="R33">
        <v>1067</v>
      </c>
      <c r="S33">
        <v>664</v>
      </c>
      <c r="T33">
        <v>1562</v>
      </c>
      <c r="U33">
        <v>2106</v>
      </c>
      <c r="V33">
        <v>980</v>
      </c>
      <c r="W33">
        <v>21</v>
      </c>
      <c r="X33">
        <v>4</v>
      </c>
      <c r="Y33">
        <v>36</v>
      </c>
      <c r="Z33">
        <v>26983</v>
      </c>
      <c r="AA33">
        <v>17372</v>
      </c>
      <c r="AB33">
        <v>8570</v>
      </c>
      <c r="AC33">
        <v>57.6</v>
      </c>
      <c r="AD33">
        <v>42</v>
      </c>
      <c r="AE33">
        <v>28</v>
      </c>
      <c r="AF33">
        <v>1</v>
      </c>
      <c r="AG33">
        <v>207</v>
      </c>
      <c r="AH33">
        <v>10</v>
      </c>
      <c r="AI33">
        <v>0</v>
      </c>
      <c r="AJ33">
        <v>13</v>
      </c>
      <c r="AK33">
        <v>1</v>
      </c>
      <c r="AL33">
        <v>0</v>
      </c>
      <c r="AM33">
        <v>7</v>
      </c>
      <c r="AN33">
        <v>26</v>
      </c>
      <c r="AO33">
        <v>34</v>
      </c>
      <c r="AP33">
        <v>26</v>
      </c>
      <c r="AQ33">
        <v>14</v>
      </c>
      <c r="AR33">
        <v>39</v>
      </c>
      <c r="AS33">
        <v>55</v>
      </c>
      <c r="AT33">
        <v>26</v>
      </c>
      <c r="AU33">
        <v>650</v>
      </c>
      <c r="AV33">
        <v>181</v>
      </c>
      <c r="AW33">
        <v>7</v>
      </c>
      <c r="AX33">
        <v>11</v>
      </c>
      <c r="AY33">
        <v>10</v>
      </c>
      <c r="AZ33">
        <v>4</v>
      </c>
      <c r="BA33">
        <v>5</v>
      </c>
      <c r="BB33">
        <v>16</v>
      </c>
      <c r="BC33">
        <v>1</v>
      </c>
      <c r="BD33">
        <v>70</v>
      </c>
      <c r="BE33">
        <v>1</v>
      </c>
      <c r="BF33">
        <v>7820</v>
      </c>
      <c r="BG33">
        <v>288</v>
      </c>
      <c r="BH33">
        <v>21</v>
      </c>
      <c r="BI33">
        <v>0</v>
      </c>
      <c r="BJ33">
        <v>335</v>
      </c>
      <c r="BK33">
        <v>617</v>
      </c>
      <c r="BL33">
        <v>527</v>
      </c>
      <c r="BM33">
        <v>6357</v>
      </c>
      <c r="BN33">
        <v>2342</v>
      </c>
      <c r="BO33">
        <v>277</v>
      </c>
      <c r="BP33">
        <v>276</v>
      </c>
      <c r="BQ33">
        <v>537</v>
      </c>
      <c r="BR33">
        <v>305</v>
      </c>
      <c r="BS33">
        <v>206</v>
      </c>
      <c r="BT33">
        <v>49</v>
      </c>
      <c r="BU33">
        <v>136</v>
      </c>
      <c r="BV33">
        <v>18</v>
      </c>
      <c r="BW33">
        <v>128</v>
      </c>
    </row>
    <row r="34" spans="1:75" x14ac:dyDescent="0.25">
      <c r="A34" s="2">
        <v>43709</v>
      </c>
      <c r="B34" s="3" t="s">
        <v>84</v>
      </c>
      <c r="C34">
        <v>3</v>
      </c>
      <c r="D34" s="1" t="s">
        <v>89</v>
      </c>
      <c r="E34">
        <v>1028</v>
      </c>
      <c r="F34">
        <v>1014</v>
      </c>
      <c r="G34">
        <v>3747</v>
      </c>
      <c r="H34">
        <v>954</v>
      </c>
      <c r="I34">
        <v>3398</v>
      </c>
      <c r="J34">
        <v>3345</v>
      </c>
      <c r="K34">
        <v>1188</v>
      </c>
      <c r="L34">
        <v>5054</v>
      </c>
      <c r="M34">
        <v>1689</v>
      </c>
      <c r="N34">
        <v>6293</v>
      </c>
      <c r="O34">
        <v>450</v>
      </c>
      <c r="P34">
        <v>5209</v>
      </c>
      <c r="Q34">
        <v>1687</v>
      </c>
      <c r="R34">
        <v>1103</v>
      </c>
      <c r="S34">
        <v>674</v>
      </c>
      <c r="T34">
        <v>1553</v>
      </c>
      <c r="U34">
        <v>2186</v>
      </c>
      <c r="V34">
        <v>758</v>
      </c>
      <c r="W34">
        <v>11</v>
      </c>
      <c r="X34">
        <v>6</v>
      </c>
      <c r="Y34">
        <v>41</v>
      </c>
      <c r="Z34">
        <v>27353</v>
      </c>
      <c r="AA34">
        <v>12446</v>
      </c>
      <c r="AB34">
        <v>6698</v>
      </c>
      <c r="AC34">
        <v>81</v>
      </c>
      <c r="AD34">
        <v>31</v>
      </c>
      <c r="AE34">
        <v>32</v>
      </c>
      <c r="AF34">
        <v>1</v>
      </c>
      <c r="AG34">
        <v>220</v>
      </c>
      <c r="AH34">
        <v>14</v>
      </c>
      <c r="AI34">
        <v>10</v>
      </c>
      <c r="AJ34">
        <v>2</v>
      </c>
      <c r="AK34">
        <v>2</v>
      </c>
      <c r="AL34">
        <v>0</v>
      </c>
      <c r="AM34">
        <v>7</v>
      </c>
      <c r="AN34">
        <v>23</v>
      </c>
      <c r="AO34">
        <v>43</v>
      </c>
      <c r="AP34">
        <v>24</v>
      </c>
      <c r="AQ34">
        <v>11</v>
      </c>
      <c r="AR34">
        <v>43</v>
      </c>
      <c r="AS34">
        <v>35</v>
      </c>
      <c r="AT34">
        <v>28</v>
      </c>
      <c r="AU34">
        <v>749</v>
      </c>
      <c r="AV34">
        <v>182</v>
      </c>
      <c r="AW34">
        <v>16</v>
      </c>
      <c r="AX34">
        <v>15</v>
      </c>
      <c r="AY34">
        <v>16</v>
      </c>
      <c r="AZ34">
        <v>2</v>
      </c>
      <c r="BA34">
        <v>12</v>
      </c>
      <c r="BB34">
        <v>13</v>
      </c>
      <c r="BC34">
        <v>1</v>
      </c>
      <c r="BD34">
        <v>105</v>
      </c>
      <c r="BE34">
        <v>10</v>
      </c>
      <c r="BF34">
        <v>8900</v>
      </c>
      <c r="BG34">
        <v>298</v>
      </c>
      <c r="BH34">
        <v>11</v>
      </c>
      <c r="BI34">
        <v>10</v>
      </c>
      <c r="BJ34">
        <v>409</v>
      </c>
      <c r="BK34">
        <v>736</v>
      </c>
      <c r="BL34">
        <v>447</v>
      </c>
      <c r="BM34">
        <v>5981</v>
      </c>
      <c r="BN34">
        <v>2864</v>
      </c>
      <c r="BO34">
        <v>261</v>
      </c>
      <c r="BP34">
        <v>250</v>
      </c>
      <c r="BQ34">
        <v>541</v>
      </c>
      <c r="BR34">
        <v>433</v>
      </c>
      <c r="BS34">
        <v>202</v>
      </c>
      <c r="BT34">
        <v>75</v>
      </c>
      <c r="BU34">
        <v>120</v>
      </c>
      <c r="BV34">
        <v>9</v>
      </c>
      <c r="BW34">
        <v>135</v>
      </c>
    </row>
    <row r="35" spans="1:75" x14ac:dyDescent="0.25">
      <c r="A35" s="2">
        <v>43739</v>
      </c>
      <c r="B35" s="3" t="s">
        <v>85</v>
      </c>
      <c r="C35">
        <v>3</v>
      </c>
      <c r="D35" s="1" t="s">
        <v>89</v>
      </c>
      <c r="E35">
        <v>1158</v>
      </c>
      <c r="F35">
        <v>978</v>
      </c>
      <c r="G35">
        <v>3802</v>
      </c>
      <c r="H35">
        <v>875</v>
      </c>
      <c r="I35">
        <v>3461</v>
      </c>
      <c r="J35">
        <v>3352</v>
      </c>
      <c r="K35">
        <v>1228</v>
      </c>
      <c r="L35">
        <v>5057</v>
      </c>
      <c r="M35">
        <v>1756</v>
      </c>
      <c r="N35">
        <v>6451</v>
      </c>
      <c r="O35">
        <v>362</v>
      </c>
      <c r="P35">
        <v>6513</v>
      </c>
      <c r="Q35">
        <v>2167</v>
      </c>
      <c r="R35">
        <v>1473</v>
      </c>
      <c r="S35">
        <v>856</v>
      </c>
      <c r="T35">
        <v>2844</v>
      </c>
      <c r="U35">
        <v>3567</v>
      </c>
      <c r="V35">
        <v>1045</v>
      </c>
      <c r="W35">
        <v>14</v>
      </c>
      <c r="X35">
        <v>17</v>
      </c>
      <c r="Y35">
        <v>25</v>
      </c>
      <c r="Z35">
        <v>27697</v>
      </c>
      <c r="AA35">
        <v>13399</v>
      </c>
      <c r="AB35">
        <v>7684</v>
      </c>
      <c r="AC35">
        <v>89</v>
      </c>
      <c r="AD35">
        <v>40</v>
      </c>
      <c r="AE35">
        <v>28</v>
      </c>
      <c r="AF35">
        <v>0</v>
      </c>
      <c r="AG35">
        <v>278</v>
      </c>
      <c r="AH35">
        <v>5</v>
      </c>
      <c r="AI35">
        <v>2</v>
      </c>
      <c r="AJ35">
        <v>10</v>
      </c>
      <c r="AK35">
        <v>4</v>
      </c>
      <c r="AL35">
        <v>2</v>
      </c>
      <c r="AM35">
        <v>10</v>
      </c>
      <c r="AN35">
        <v>25</v>
      </c>
      <c r="AO35">
        <v>42</v>
      </c>
      <c r="AP35">
        <v>17</v>
      </c>
      <c r="AQ35">
        <v>18</v>
      </c>
      <c r="AR35">
        <v>64</v>
      </c>
      <c r="AS35">
        <v>41</v>
      </c>
      <c r="AT35">
        <v>32</v>
      </c>
      <c r="AU35">
        <v>775</v>
      </c>
      <c r="AV35">
        <v>185</v>
      </c>
      <c r="AW35">
        <v>36</v>
      </c>
      <c r="AX35">
        <v>15</v>
      </c>
      <c r="AY35">
        <v>17</v>
      </c>
      <c r="AZ35">
        <v>5</v>
      </c>
      <c r="BA35">
        <v>19</v>
      </c>
      <c r="BB35">
        <v>25</v>
      </c>
      <c r="BC35">
        <v>1</v>
      </c>
      <c r="BD35">
        <v>89</v>
      </c>
      <c r="BE35">
        <v>5</v>
      </c>
      <c r="BF35">
        <v>8993</v>
      </c>
      <c r="BG35">
        <v>351</v>
      </c>
      <c r="BH35">
        <v>26</v>
      </c>
      <c r="BI35">
        <v>2</v>
      </c>
      <c r="BJ35">
        <v>485</v>
      </c>
      <c r="BK35">
        <v>451</v>
      </c>
      <c r="BL35">
        <v>817</v>
      </c>
      <c r="BM35">
        <v>6193</v>
      </c>
      <c r="BN35">
        <v>2990</v>
      </c>
      <c r="BO35">
        <v>315</v>
      </c>
      <c r="BP35">
        <v>289</v>
      </c>
      <c r="BQ35">
        <v>544</v>
      </c>
      <c r="BR35">
        <v>470</v>
      </c>
      <c r="BS35">
        <v>263</v>
      </c>
      <c r="BT35">
        <v>55</v>
      </c>
      <c r="BU35">
        <v>163</v>
      </c>
      <c r="BV35">
        <v>12</v>
      </c>
      <c r="BW35">
        <v>51</v>
      </c>
    </row>
    <row r="36" spans="1:75" x14ac:dyDescent="0.25">
      <c r="A36" s="2">
        <v>43770</v>
      </c>
      <c r="B36" s="3" t="s">
        <v>86</v>
      </c>
      <c r="C36">
        <v>3</v>
      </c>
      <c r="D36" s="1" t="s">
        <v>89</v>
      </c>
      <c r="E36">
        <v>1099</v>
      </c>
      <c r="F36">
        <v>831</v>
      </c>
      <c r="G36">
        <v>3423</v>
      </c>
      <c r="H36">
        <v>795</v>
      </c>
      <c r="I36">
        <v>3152</v>
      </c>
      <c r="J36">
        <v>2996</v>
      </c>
      <c r="K36">
        <v>467</v>
      </c>
      <c r="L36">
        <v>4380</v>
      </c>
      <c r="M36">
        <v>1768</v>
      </c>
      <c r="N36">
        <v>5714</v>
      </c>
      <c r="O36">
        <v>434</v>
      </c>
      <c r="P36">
        <v>4789</v>
      </c>
      <c r="Q36">
        <v>1524</v>
      </c>
      <c r="R36">
        <v>1012</v>
      </c>
      <c r="S36">
        <v>617</v>
      </c>
      <c r="T36">
        <v>2170</v>
      </c>
      <c r="U36">
        <v>2297</v>
      </c>
      <c r="V36">
        <v>1148</v>
      </c>
      <c r="W36">
        <v>5</v>
      </c>
      <c r="X36">
        <v>16</v>
      </c>
      <c r="Y36">
        <v>43</v>
      </c>
      <c r="Z36">
        <v>24365</v>
      </c>
      <c r="AA36">
        <v>14287</v>
      </c>
      <c r="AB36">
        <v>6567</v>
      </c>
      <c r="AC36">
        <v>38</v>
      </c>
      <c r="AD36">
        <v>58</v>
      </c>
      <c r="AE36">
        <v>30</v>
      </c>
      <c r="AF36">
        <v>0</v>
      </c>
      <c r="AG36">
        <v>252</v>
      </c>
      <c r="AH36">
        <v>14</v>
      </c>
      <c r="AI36">
        <v>0</v>
      </c>
      <c r="AJ36">
        <v>10</v>
      </c>
      <c r="AK36">
        <v>5</v>
      </c>
      <c r="AL36">
        <v>7</v>
      </c>
      <c r="AM36">
        <v>6</v>
      </c>
      <c r="AN36">
        <v>24</v>
      </c>
      <c r="AO36">
        <v>41</v>
      </c>
      <c r="AP36">
        <v>28</v>
      </c>
      <c r="AQ36">
        <v>19</v>
      </c>
      <c r="AR36">
        <v>56</v>
      </c>
      <c r="AS36">
        <v>47</v>
      </c>
      <c r="AT36">
        <v>43</v>
      </c>
      <c r="AU36">
        <v>655</v>
      </c>
      <c r="AV36">
        <v>212</v>
      </c>
      <c r="AW36">
        <v>24</v>
      </c>
      <c r="AX36">
        <v>17</v>
      </c>
      <c r="AY36">
        <v>15</v>
      </c>
      <c r="AZ36">
        <v>1</v>
      </c>
      <c r="BA36">
        <v>14</v>
      </c>
      <c r="BB36">
        <v>17</v>
      </c>
      <c r="BC36">
        <v>0</v>
      </c>
      <c r="BD36">
        <v>124</v>
      </c>
      <c r="BE36">
        <v>2</v>
      </c>
      <c r="BF36">
        <v>8115</v>
      </c>
      <c r="BG36">
        <v>354</v>
      </c>
      <c r="BH36">
        <v>28</v>
      </c>
      <c r="BI36">
        <v>0</v>
      </c>
      <c r="BJ36">
        <v>487</v>
      </c>
      <c r="BK36">
        <v>859</v>
      </c>
      <c r="BL36">
        <v>475</v>
      </c>
      <c r="BM36">
        <v>6291</v>
      </c>
      <c r="BN36">
        <v>2620</v>
      </c>
      <c r="BO36">
        <v>350</v>
      </c>
      <c r="BP36">
        <v>321</v>
      </c>
      <c r="BQ36">
        <v>632</v>
      </c>
      <c r="BR36">
        <v>508</v>
      </c>
      <c r="BS36">
        <v>229</v>
      </c>
      <c r="BT36">
        <v>55</v>
      </c>
      <c r="BU36">
        <v>184</v>
      </c>
      <c r="BV36">
        <v>12</v>
      </c>
      <c r="BW36">
        <v>152</v>
      </c>
    </row>
    <row r="37" spans="1:75" x14ac:dyDescent="0.25">
      <c r="A37" s="2">
        <v>43800</v>
      </c>
      <c r="B37" s="3" t="s">
        <v>87</v>
      </c>
      <c r="C37">
        <v>3</v>
      </c>
      <c r="D37" s="1" t="s">
        <v>89</v>
      </c>
      <c r="E37">
        <v>960</v>
      </c>
      <c r="F37">
        <v>745</v>
      </c>
      <c r="G37">
        <v>3174</v>
      </c>
      <c r="H37">
        <v>732</v>
      </c>
      <c r="I37">
        <v>2734</v>
      </c>
      <c r="J37">
        <v>2877</v>
      </c>
      <c r="K37">
        <v>220</v>
      </c>
      <c r="L37">
        <v>4110</v>
      </c>
      <c r="M37">
        <v>1501</v>
      </c>
      <c r="N37">
        <v>5162</v>
      </c>
      <c r="O37">
        <v>449</v>
      </c>
      <c r="P37">
        <v>3851</v>
      </c>
      <c r="Q37">
        <v>873</v>
      </c>
      <c r="R37">
        <v>630</v>
      </c>
      <c r="S37">
        <v>496</v>
      </c>
      <c r="T37">
        <v>806</v>
      </c>
      <c r="U37">
        <v>1679</v>
      </c>
      <c r="V37">
        <v>1088</v>
      </c>
      <c r="W37">
        <v>5</v>
      </c>
      <c r="X37">
        <v>11</v>
      </c>
      <c r="Y37">
        <v>55</v>
      </c>
      <c r="Z37">
        <v>20810</v>
      </c>
      <c r="AA37">
        <v>13270</v>
      </c>
      <c r="AB37">
        <v>5517</v>
      </c>
      <c r="AC37">
        <v>24</v>
      </c>
      <c r="AD37">
        <v>33</v>
      </c>
      <c r="AE37">
        <v>29</v>
      </c>
      <c r="AF37">
        <v>1</v>
      </c>
      <c r="AG37">
        <v>249</v>
      </c>
      <c r="AH37">
        <v>9</v>
      </c>
      <c r="AI37">
        <v>0</v>
      </c>
      <c r="AJ37">
        <v>7</v>
      </c>
      <c r="AK37">
        <v>3</v>
      </c>
      <c r="AL37">
        <v>0</v>
      </c>
      <c r="AM37">
        <v>5</v>
      </c>
      <c r="AN37">
        <v>29</v>
      </c>
      <c r="AO37">
        <v>43</v>
      </c>
      <c r="AP37">
        <v>34</v>
      </c>
      <c r="AQ37">
        <v>11</v>
      </c>
      <c r="AR37">
        <v>68</v>
      </c>
      <c r="AS37">
        <v>42</v>
      </c>
      <c r="AT37">
        <v>34</v>
      </c>
      <c r="AU37">
        <v>720</v>
      </c>
      <c r="AV37">
        <v>165</v>
      </c>
      <c r="AW37">
        <v>25</v>
      </c>
      <c r="AX37">
        <v>12</v>
      </c>
      <c r="AY37">
        <v>17</v>
      </c>
      <c r="AZ37">
        <v>9</v>
      </c>
      <c r="BA37">
        <v>10</v>
      </c>
      <c r="BB37">
        <v>18</v>
      </c>
      <c r="BC37">
        <v>1</v>
      </c>
      <c r="BD37">
        <v>131</v>
      </c>
      <c r="BE37">
        <v>4</v>
      </c>
      <c r="BF37">
        <v>7406</v>
      </c>
      <c r="BG37">
        <v>321</v>
      </c>
      <c r="BH37">
        <v>15</v>
      </c>
      <c r="BI37">
        <v>0</v>
      </c>
      <c r="BJ37">
        <v>439</v>
      </c>
      <c r="BK37">
        <v>987</v>
      </c>
      <c r="BL37">
        <v>503</v>
      </c>
      <c r="BM37">
        <v>6771</v>
      </c>
      <c r="BN37">
        <v>2720</v>
      </c>
      <c r="BO37">
        <v>250</v>
      </c>
      <c r="BP37">
        <v>369</v>
      </c>
      <c r="BQ37">
        <v>525</v>
      </c>
      <c r="BR37">
        <v>465</v>
      </c>
      <c r="BS37">
        <v>208</v>
      </c>
      <c r="BT37">
        <v>52</v>
      </c>
      <c r="BU37">
        <v>137</v>
      </c>
      <c r="BV37">
        <v>11</v>
      </c>
      <c r="BW37">
        <v>117</v>
      </c>
    </row>
    <row r="38" spans="1:75" x14ac:dyDescent="0.25">
      <c r="A38" s="2">
        <v>43831</v>
      </c>
      <c r="B38" s="3" t="s">
        <v>75</v>
      </c>
      <c r="C38">
        <v>1</v>
      </c>
      <c r="D38" s="1" t="s">
        <v>90</v>
      </c>
      <c r="E38">
        <v>1001</v>
      </c>
      <c r="F38">
        <v>790</v>
      </c>
      <c r="G38">
        <v>3527</v>
      </c>
      <c r="H38">
        <v>812</v>
      </c>
      <c r="I38">
        <v>3079</v>
      </c>
      <c r="J38">
        <v>3051</v>
      </c>
      <c r="K38">
        <v>218</v>
      </c>
      <c r="L38">
        <v>4252</v>
      </c>
      <c r="M38">
        <v>1878</v>
      </c>
      <c r="N38">
        <v>5689</v>
      </c>
      <c r="O38">
        <v>441</v>
      </c>
      <c r="P38">
        <v>4319</v>
      </c>
      <c r="Q38">
        <v>923</v>
      </c>
      <c r="R38">
        <v>738</v>
      </c>
      <c r="S38">
        <v>442</v>
      </c>
      <c r="T38">
        <v>1009</v>
      </c>
      <c r="U38">
        <v>2113</v>
      </c>
      <c r="V38">
        <v>1145</v>
      </c>
      <c r="W38">
        <v>14</v>
      </c>
      <c r="X38">
        <v>10</v>
      </c>
      <c r="Y38">
        <v>30</v>
      </c>
      <c r="Z38">
        <v>20276</v>
      </c>
      <c r="AA38">
        <v>10976</v>
      </c>
      <c r="AB38">
        <v>5963</v>
      </c>
      <c r="AC38">
        <v>27</v>
      </c>
      <c r="AD38">
        <v>30</v>
      </c>
      <c r="AE38">
        <v>19</v>
      </c>
      <c r="AF38">
        <v>5</v>
      </c>
      <c r="AG38">
        <v>172</v>
      </c>
      <c r="AH38">
        <v>9</v>
      </c>
      <c r="AI38">
        <v>0</v>
      </c>
      <c r="AJ38">
        <v>5</v>
      </c>
      <c r="AK38">
        <v>3</v>
      </c>
      <c r="AL38">
        <v>1</v>
      </c>
      <c r="AM38">
        <v>16</v>
      </c>
      <c r="AN38">
        <v>20</v>
      </c>
      <c r="AO38">
        <v>36</v>
      </c>
      <c r="AP38">
        <v>31</v>
      </c>
      <c r="AQ38">
        <v>12</v>
      </c>
      <c r="AR38">
        <v>26</v>
      </c>
      <c r="AS38">
        <v>52</v>
      </c>
      <c r="AT38">
        <v>26</v>
      </c>
      <c r="AU38">
        <v>450</v>
      </c>
      <c r="AV38">
        <v>185</v>
      </c>
      <c r="AW38">
        <v>21</v>
      </c>
      <c r="AX38">
        <v>11</v>
      </c>
      <c r="AY38">
        <v>20</v>
      </c>
      <c r="AZ38">
        <v>2</v>
      </c>
      <c r="BA38">
        <v>7</v>
      </c>
      <c r="BB38">
        <v>11</v>
      </c>
      <c r="BC38">
        <v>5</v>
      </c>
      <c r="BD38">
        <v>160</v>
      </c>
      <c r="BE38">
        <v>0</v>
      </c>
      <c r="BF38">
        <v>6130</v>
      </c>
      <c r="BG38">
        <v>235</v>
      </c>
      <c r="BH38">
        <v>25</v>
      </c>
      <c r="BI38">
        <v>0</v>
      </c>
      <c r="BJ38">
        <v>281</v>
      </c>
      <c r="BK38">
        <v>866</v>
      </c>
      <c r="BL38">
        <v>408</v>
      </c>
      <c r="BM38">
        <v>6771</v>
      </c>
      <c r="BN38">
        <v>2341</v>
      </c>
      <c r="BO38">
        <v>325</v>
      </c>
      <c r="BP38">
        <v>102</v>
      </c>
      <c r="BQ38">
        <v>485</v>
      </c>
      <c r="BR38">
        <v>422</v>
      </c>
      <c r="BS38">
        <v>195</v>
      </c>
      <c r="BT38">
        <v>43</v>
      </c>
      <c r="BU38">
        <v>120</v>
      </c>
      <c r="BV38">
        <v>17</v>
      </c>
      <c r="BW38">
        <v>110</v>
      </c>
    </row>
    <row r="39" spans="1:75" x14ac:dyDescent="0.25">
      <c r="A39" s="2">
        <v>43862</v>
      </c>
      <c r="B39" s="3" t="s">
        <v>77</v>
      </c>
      <c r="C39">
        <v>1</v>
      </c>
      <c r="D39" s="1" t="s">
        <v>90</v>
      </c>
      <c r="E39">
        <v>997</v>
      </c>
      <c r="F39">
        <v>857</v>
      </c>
      <c r="G39">
        <v>3622</v>
      </c>
      <c r="H39">
        <v>801</v>
      </c>
      <c r="I39">
        <v>3047</v>
      </c>
      <c r="J39">
        <v>3230</v>
      </c>
      <c r="K39">
        <v>424</v>
      </c>
      <c r="L39">
        <v>4355</v>
      </c>
      <c r="M39">
        <v>1922</v>
      </c>
      <c r="N39">
        <v>5856</v>
      </c>
      <c r="O39">
        <v>421</v>
      </c>
      <c r="P39">
        <v>4686</v>
      </c>
      <c r="Q39">
        <v>950</v>
      </c>
      <c r="R39">
        <v>717</v>
      </c>
      <c r="S39">
        <v>527</v>
      </c>
      <c r="T39">
        <v>1376</v>
      </c>
      <c r="U39">
        <v>2266</v>
      </c>
      <c r="V39">
        <v>1096</v>
      </c>
      <c r="W39">
        <v>21</v>
      </c>
      <c r="X39">
        <v>13</v>
      </c>
      <c r="Y39">
        <v>29</v>
      </c>
      <c r="Z39">
        <v>20172</v>
      </c>
      <c r="AA39">
        <v>11654</v>
      </c>
      <c r="AB39">
        <v>5685</v>
      </c>
      <c r="AC39">
        <v>48</v>
      </c>
      <c r="AD39">
        <v>35</v>
      </c>
      <c r="AE39">
        <v>14</v>
      </c>
      <c r="AF39">
        <v>1</v>
      </c>
      <c r="AG39">
        <v>184</v>
      </c>
      <c r="AH39">
        <v>5</v>
      </c>
      <c r="AI39">
        <v>1</v>
      </c>
      <c r="AJ39">
        <v>5</v>
      </c>
      <c r="AK39">
        <v>5</v>
      </c>
      <c r="AL39">
        <v>0</v>
      </c>
      <c r="AM39">
        <v>10</v>
      </c>
      <c r="AN39">
        <v>28</v>
      </c>
      <c r="AO39">
        <v>33</v>
      </c>
      <c r="AP39">
        <v>20</v>
      </c>
      <c r="AQ39">
        <v>12</v>
      </c>
      <c r="AR39">
        <v>36</v>
      </c>
      <c r="AS39">
        <v>45</v>
      </c>
      <c r="AT39">
        <v>31</v>
      </c>
      <c r="AU39">
        <v>414</v>
      </c>
      <c r="AV39">
        <v>187</v>
      </c>
      <c r="AW39">
        <v>23</v>
      </c>
      <c r="AX39">
        <v>17</v>
      </c>
      <c r="AY39">
        <v>11</v>
      </c>
      <c r="AZ39">
        <v>2</v>
      </c>
      <c r="BA39">
        <v>9</v>
      </c>
      <c r="BB39">
        <v>12</v>
      </c>
      <c r="BC39">
        <v>3</v>
      </c>
      <c r="BD39">
        <v>107</v>
      </c>
      <c r="BE39">
        <v>3</v>
      </c>
      <c r="BF39">
        <v>6277</v>
      </c>
      <c r="BG39">
        <v>239</v>
      </c>
      <c r="BH39">
        <v>20</v>
      </c>
      <c r="BI39">
        <v>1</v>
      </c>
      <c r="BJ39">
        <v>283</v>
      </c>
      <c r="BK39">
        <v>891</v>
      </c>
      <c r="BL39">
        <v>420</v>
      </c>
      <c r="BM39">
        <v>5942</v>
      </c>
      <c r="BN39">
        <v>2365</v>
      </c>
      <c r="BO39">
        <v>224</v>
      </c>
      <c r="BP39">
        <v>115</v>
      </c>
      <c r="BQ39">
        <v>542</v>
      </c>
      <c r="BR39">
        <v>371</v>
      </c>
      <c r="BS39">
        <v>220</v>
      </c>
      <c r="BT39">
        <v>44</v>
      </c>
      <c r="BU39">
        <v>135</v>
      </c>
      <c r="BV39">
        <v>19</v>
      </c>
      <c r="BW39">
        <v>124</v>
      </c>
    </row>
    <row r="40" spans="1:75" x14ac:dyDescent="0.25">
      <c r="A40" s="2">
        <v>43891</v>
      </c>
      <c r="B40" s="3" t="s">
        <v>78</v>
      </c>
      <c r="C40">
        <v>1</v>
      </c>
      <c r="D40" s="1" t="s">
        <v>90</v>
      </c>
      <c r="E40">
        <v>926</v>
      </c>
      <c r="F40">
        <v>823</v>
      </c>
      <c r="G40">
        <v>3421</v>
      </c>
      <c r="H40">
        <v>672</v>
      </c>
      <c r="I40">
        <v>2832</v>
      </c>
      <c r="J40">
        <v>3010</v>
      </c>
      <c r="K40">
        <v>201</v>
      </c>
      <c r="L40">
        <v>4147</v>
      </c>
      <c r="M40">
        <v>1695</v>
      </c>
      <c r="N40">
        <v>5410</v>
      </c>
      <c r="O40">
        <v>432</v>
      </c>
      <c r="P40">
        <v>4276</v>
      </c>
      <c r="Q40">
        <v>1218</v>
      </c>
      <c r="R40">
        <v>1020</v>
      </c>
      <c r="S40">
        <v>412</v>
      </c>
      <c r="T40">
        <v>1243</v>
      </c>
      <c r="U40">
        <v>2297</v>
      </c>
      <c r="V40">
        <v>1020</v>
      </c>
      <c r="W40">
        <v>12</v>
      </c>
      <c r="X40">
        <v>11</v>
      </c>
      <c r="Y40">
        <v>30</v>
      </c>
      <c r="Z40">
        <v>19804</v>
      </c>
      <c r="AA40">
        <v>11628</v>
      </c>
      <c r="AB40">
        <v>6021</v>
      </c>
      <c r="AC40">
        <v>43</v>
      </c>
      <c r="AD40">
        <v>28</v>
      </c>
      <c r="AE40">
        <v>9</v>
      </c>
      <c r="AF40">
        <v>1</v>
      </c>
      <c r="AG40">
        <v>128</v>
      </c>
      <c r="AH40">
        <v>5</v>
      </c>
      <c r="AI40">
        <v>0</v>
      </c>
      <c r="AJ40">
        <v>3</v>
      </c>
      <c r="AK40">
        <v>3</v>
      </c>
      <c r="AL40">
        <v>3</v>
      </c>
      <c r="AM40">
        <v>4</v>
      </c>
      <c r="AN40">
        <v>16</v>
      </c>
      <c r="AO40">
        <v>25</v>
      </c>
      <c r="AP40">
        <v>19</v>
      </c>
      <c r="AQ40">
        <v>9</v>
      </c>
      <c r="AR40">
        <v>45</v>
      </c>
      <c r="AS40">
        <v>25</v>
      </c>
      <c r="AT40">
        <v>20</v>
      </c>
      <c r="AU40">
        <v>251</v>
      </c>
      <c r="AV40">
        <v>141</v>
      </c>
      <c r="AW40">
        <v>13</v>
      </c>
      <c r="AX40">
        <v>10</v>
      </c>
      <c r="AY40">
        <v>6</v>
      </c>
      <c r="AZ40">
        <v>5</v>
      </c>
      <c r="BA40">
        <v>5</v>
      </c>
      <c r="BB40">
        <v>5</v>
      </c>
      <c r="BC40">
        <v>2</v>
      </c>
      <c r="BD40">
        <v>69</v>
      </c>
      <c r="BE40">
        <v>4</v>
      </c>
      <c r="BF40">
        <v>5842</v>
      </c>
      <c r="BG40">
        <v>171</v>
      </c>
      <c r="BH40">
        <v>13</v>
      </c>
      <c r="BI40">
        <v>0</v>
      </c>
      <c r="BJ40">
        <v>334</v>
      </c>
      <c r="BK40">
        <v>726</v>
      </c>
      <c r="BL40">
        <v>443</v>
      </c>
      <c r="BM40">
        <v>5465</v>
      </c>
      <c r="BN40">
        <v>2083</v>
      </c>
      <c r="BO40">
        <v>139</v>
      </c>
      <c r="BP40">
        <v>236</v>
      </c>
      <c r="BQ40">
        <v>313</v>
      </c>
      <c r="BR40">
        <v>256</v>
      </c>
      <c r="BS40">
        <v>105</v>
      </c>
      <c r="BT40">
        <v>19</v>
      </c>
      <c r="BU40">
        <v>110</v>
      </c>
      <c r="BV40">
        <v>5</v>
      </c>
      <c r="BW40">
        <v>74</v>
      </c>
    </row>
    <row r="41" spans="1:75" x14ac:dyDescent="0.25">
      <c r="A41" s="2">
        <v>43922</v>
      </c>
      <c r="B41" s="3" t="s">
        <v>79</v>
      </c>
      <c r="C41">
        <v>1</v>
      </c>
      <c r="D41" s="1" t="s">
        <v>90</v>
      </c>
      <c r="E41">
        <v>199</v>
      </c>
      <c r="F41">
        <v>285</v>
      </c>
      <c r="G41">
        <v>1686</v>
      </c>
      <c r="H41">
        <v>372</v>
      </c>
      <c r="I41">
        <v>1136</v>
      </c>
      <c r="J41">
        <v>1406</v>
      </c>
      <c r="K41">
        <v>355</v>
      </c>
      <c r="L41">
        <v>1615</v>
      </c>
      <c r="M41">
        <v>927</v>
      </c>
      <c r="N41">
        <v>2267</v>
      </c>
      <c r="O41">
        <v>275</v>
      </c>
      <c r="P41">
        <v>2628</v>
      </c>
      <c r="Q41">
        <v>1076</v>
      </c>
      <c r="R41">
        <v>970</v>
      </c>
      <c r="S41">
        <v>355</v>
      </c>
      <c r="T41">
        <v>866</v>
      </c>
      <c r="U41">
        <v>1876</v>
      </c>
      <c r="V41">
        <v>255</v>
      </c>
      <c r="W41">
        <v>11</v>
      </c>
      <c r="X41">
        <v>3</v>
      </c>
      <c r="Y41">
        <v>9</v>
      </c>
      <c r="Z41">
        <v>7874</v>
      </c>
      <c r="AA41">
        <v>4685</v>
      </c>
      <c r="AB41">
        <v>2778</v>
      </c>
      <c r="AC41">
        <v>24</v>
      </c>
      <c r="AD41">
        <v>10</v>
      </c>
      <c r="AE41">
        <v>11</v>
      </c>
      <c r="AF41">
        <v>3</v>
      </c>
      <c r="AG41">
        <v>86</v>
      </c>
      <c r="AH41">
        <v>5</v>
      </c>
      <c r="AI41">
        <v>0</v>
      </c>
      <c r="AJ41">
        <v>2</v>
      </c>
      <c r="AK41">
        <v>0</v>
      </c>
      <c r="AL41">
        <v>0</v>
      </c>
      <c r="AM41">
        <v>4</v>
      </c>
      <c r="AN41">
        <v>8</v>
      </c>
      <c r="AO41">
        <v>11</v>
      </c>
      <c r="AP41">
        <v>13</v>
      </c>
      <c r="AQ41">
        <v>15</v>
      </c>
      <c r="AR41">
        <v>19</v>
      </c>
      <c r="AS41">
        <v>5</v>
      </c>
      <c r="AT41">
        <v>11</v>
      </c>
      <c r="AU41">
        <v>181</v>
      </c>
      <c r="AV41">
        <v>58</v>
      </c>
      <c r="AW41">
        <v>9</v>
      </c>
      <c r="AX41">
        <v>5</v>
      </c>
      <c r="AY41">
        <v>2</v>
      </c>
      <c r="AZ41">
        <v>0</v>
      </c>
      <c r="BA41">
        <v>6</v>
      </c>
      <c r="BB41">
        <v>9</v>
      </c>
      <c r="BC41">
        <v>1</v>
      </c>
      <c r="BD41">
        <v>27</v>
      </c>
      <c r="BE41">
        <v>2</v>
      </c>
      <c r="BF41">
        <v>2542</v>
      </c>
      <c r="BG41">
        <v>115</v>
      </c>
      <c r="BH41">
        <v>6</v>
      </c>
      <c r="BI41">
        <v>0</v>
      </c>
      <c r="BJ41">
        <v>265</v>
      </c>
      <c r="BK41">
        <v>492</v>
      </c>
      <c r="BL41">
        <v>398</v>
      </c>
      <c r="BM41">
        <v>3430</v>
      </c>
      <c r="BN41">
        <v>1333</v>
      </c>
      <c r="BO41">
        <v>66</v>
      </c>
      <c r="BP41">
        <v>90</v>
      </c>
      <c r="BQ41">
        <v>175</v>
      </c>
      <c r="BR41">
        <v>117</v>
      </c>
      <c r="BS41">
        <v>70</v>
      </c>
      <c r="BT41">
        <v>9</v>
      </c>
      <c r="BU41">
        <v>47</v>
      </c>
      <c r="BV41">
        <v>2</v>
      </c>
      <c r="BW41">
        <v>47</v>
      </c>
    </row>
    <row r="42" spans="1:75" x14ac:dyDescent="0.25">
      <c r="A42" s="2">
        <v>43952</v>
      </c>
      <c r="B42" s="3" t="s">
        <v>80</v>
      </c>
      <c r="C42">
        <v>2</v>
      </c>
      <c r="D42" s="1" t="s">
        <v>90</v>
      </c>
      <c r="E42">
        <v>229</v>
      </c>
      <c r="F42">
        <v>364</v>
      </c>
      <c r="G42">
        <v>2277</v>
      </c>
      <c r="H42">
        <v>513</v>
      </c>
      <c r="I42">
        <v>1603</v>
      </c>
      <c r="J42">
        <v>1780</v>
      </c>
      <c r="K42">
        <v>689</v>
      </c>
      <c r="L42">
        <v>2424</v>
      </c>
      <c r="M42">
        <v>959</v>
      </c>
      <c r="N42">
        <v>3051</v>
      </c>
      <c r="O42">
        <v>332</v>
      </c>
      <c r="P42">
        <v>2468</v>
      </c>
      <c r="Q42">
        <v>1544</v>
      </c>
      <c r="R42">
        <v>1491</v>
      </c>
      <c r="S42">
        <v>83</v>
      </c>
      <c r="T42">
        <v>354</v>
      </c>
      <c r="U42">
        <v>1791</v>
      </c>
      <c r="V42">
        <v>164</v>
      </c>
      <c r="W42">
        <v>8</v>
      </c>
      <c r="X42">
        <v>0</v>
      </c>
      <c r="Y42">
        <v>29</v>
      </c>
      <c r="Z42">
        <v>7490</v>
      </c>
      <c r="AA42">
        <v>4845</v>
      </c>
      <c r="AB42">
        <v>2642</v>
      </c>
      <c r="AC42">
        <v>24</v>
      </c>
      <c r="AD42">
        <v>12</v>
      </c>
      <c r="AE42">
        <v>8</v>
      </c>
      <c r="AF42">
        <v>0</v>
      </c>
      <c r="AG42">
        <v>76</v>
      </c>
      <c r="AH42">
        <v>9</v>
      </c>
      <c r="AI42">
        <v>1</v>
      </c>
      <c r="AJ42">
        <v>2</v>
      </c>
      <c r="AK42">
        <v>2</v>
      </c>
      <c r="AL42">
        <v>0</v>
      </c>
      <c r="AM42">
        <v>2</v>
      </c>
      <c r="AN42">
        <v>11</v>
      </c>
      <c r="AO42">
        <v>17</v>
      </c>
      <c r="AP42">
        <v>10</v>
      </c>
      <c r="AQ42">
        <v>10</v>
      </c>
      <c r="AR42">
        <v>13</v>
      </c>
      <c r="AS42">
        <v>16</v>
      </c>
      <c r="AT42">
        <v>11</v>
      </c>
      <c r="AU42">
        <v>142</v>
      </c>
      <c r="AV42">
        <v>76</v>
      </c>
      <c r="AW42">
        <v>8</v>
      </c>
      <c r="AX42">
        <v>3</v>
      </c>
      <c r="AY42">
        <v>5</v>
      </c>
      <c r="AZ42">
        <v>1</v>
      </c>
      <c r="BA42">
        <v>5</v>
      </c>
      <c r="BB42">
        <v>4</v>
      </c>
      <c r="BC42">
        <v>0</v>
      </c>
      <c r="BD42">
        <v>50</v>
      </c>
      <c r="BE42">
        <v>8</v>
      </c>
      <c r="BF42">
        <v>3383</v>
      </c>
      <c r="BG42">
        <v>105</v>
      </c>
      <c r="BH42">
        <v>6</v>
      </c>
      <c r="BI42">
        <v>1</v>
      </c>
      <c r="BJ42">
        <v>112</v>
      </c>
      <c r="BK42">
        <v>783</v>
      </c>
      <c r="BL42">
        <v>196</v>
      </c>
      <c r="BM42">
        <v>13835</v>
      </c>
      <c r="BN42">
        <v>1639</v>
      </c>
      <c r="BO42">
        <v>55</v>
      </c>
      <c r="BP42">
        <v>136</v>
      </c>
      <c r="BQ42">
        <v>326</v>
      </c>
      <c r="BR42">
        <v>152</v>
      </c>
      <c r="BS42">
        <v>120</v>
      </c>
      <c r="BT42">
        <v>29</v>
      </c>
      <c r="BU42">
        <v>106</v>
      </c>
      <c r="BV42">
        <v>9</v>
      </c>
      <c r="BW42">
        <v>62</v>
      </c>
    </row>
    <row r="43" spans="1:75" x14ac:dyDescent="0.25">
      <c r="A43" s="2">
        <v>43983</v>
      </c>
      <c r="B43" s="3" t="s">
        <v>81</v>
      </c>
      <c r="C43">
        <v>2</v>
      </c>
      <c r="D43" s="1" t="s">
        <v>90</v>
      </c>
      <c r="E43">
        <v>558</v>
      </c>
      <c r="F43">
        <v>497</v>
      </c>
      <c r="G43">
        <v>2825</v>
      </c>
      <c r="H43">
        <v>738</v>
      </c>
      <c r="I43">
        <v>2079</v>
      </c>
      <c r="J43">
        <v>2230</v>
      </c>
      <c r="K43">
        <v>1065</v>
      </c>
      <c r="L43">
        <v>3201</v>
      </c>
      <c r="M43">
        <v>1108</v>
      </c>
      <c r="N43">
        <v>4020</v>
      </c>
      <c r="O43">
        <v>289</v>
      </c>
      <c r="P43">
        <v>3224</v>
      </c>
      <c r="Q43">
        <v>1395</v>
      </c>
      <c r="R43">
        <v>1304</v>
      </c>
      <c r="S43">
        <v>68</v>
      </c>
      <c r="T43">
        <v>409</v>
      </c>
      <c r="U43">
        <v>2095</v>
      </c>
      <c r="V43">
        <v>460</v>
      </c>
      <c r="W43">
        <v>12</v>
      </c>
      <c r="X43">
        <v>1</v>
      </c>
      <c r="Y43">
        <v>34</v>
      </c>
      <c r="Z43">
        <v>11357</v>
      </c>
      <c r="AA43">
        <v>6565</v>
      </c>
      <c r="AB43">
        <v>4175</v>
      </c>
      <c r="AC43">
        <v>210</v>
      </c>
      <c r="AD43">
        <v>21</v>
      </c>
      <c r="AE43">
        <v>17</v>
      </c>
      <c r="AF43">
        <v>0</v>
      </c>
      <c r="AG43">
        <v>136</v>
      </c>
      <c r="AH43">
        <v>15</v>
      </c>
      <c r="AI43">
        <v>2</v>
      </c>
      <c r="AJ43">
        <v>1</v>
      </c>
      <c r="AK43">
        <v>1</v>
      </c>
      <c r="AL43">
        <v>0</v>
      </c>
      <c r="AM43">
        <v>5</v>
      </c>
      <c r="AN43">
        <v>24</v>
      </c>
      <c r="AO43">
        <v>41</v>
      </c>
      <c r="AP43">
        <v>13</v>
      </c>
      <c r="AQ43">
        <v>8</v>
      </c>
      <c r="AR43">
        <v>22</v>
      </c>
      <c r="AS43">
        <v>27</v>
      </c>
      <c r="AT43">
        <v>15</v>
      </c>
      <c r="AU43">
        <v>316</v>
      </c>
      <c r="AV43">
        <v>146</v>
      </c>
      <c r="AW43">
        <v>23</v>
      </c>
      <c r="AX43">
        <v>13</v>
      </c>
      <c r="AY43">
        <v>6</v>
      </c>
      <c r="AZ43">
        <v>1</v>
      </c>
      <c r="BA43">
        <v>5</v>
      </c>
      <c r="BB43">
        <v>6</v>
      </c>
      <c r="BC43">
        <v>0</v>
      </c>
      <c r="BD43">
        <v>104</v>
      </c>
      <c r="BE43">
        <v>3</v>
      </c>
      <c r="BF43">
        <v>4618</v>
      </c>
      <c r="BG43">
        <v>189</v>
      </c>
      <c r="BH43">
        <v>7</v>
      </c>
      <c r="BI43">
        <v>2</v>
      </c>
      <c r="BJ43">
        <v>198</v>
      </c>
      <c r="BK43">
        <v>783</v>
      </c>
      <c r="BL43">
        <v>273</v>
      </c>
      <c r="BM43">
        <v>6218</v>
      </c>
      <c r="BN43">
        <v>2030</v>
      </c>
      <c r="BO43">
        <v>149</v>
      </c>
      <c r="BP43">
        <v>221</v>
      </c>
      <c r="BQ43">
        <v>442</v>
      </c>
      <c r="BR43">
        <v>304</v>
      </c>
      <c r="BS43">
        <v>172</v>
      </c>
      <c r="BT43">
        <v>36</v>
      </c>
      <c r="BU43">
        <v>138</v>
      </c>
      <c r="BV43">
        <v>21</v>
      </c>
      <c r="BW43">
        <v>75</v>
      </c>
    </row>
    <row r="44" spans="1:75" x14ac:dyDescent="0.25">
      <c r="A44" s="2">
        <v>44013</v>
      </c>
      <c r="B44" s="3" t="s">
        <v>82</v>
      </c>
      <c r="C44">
        <v>2</v>
      </c>
      <c r="D44" s="1" t="s">
        <v>90</v>
      </c>
      <c r="E44">
        <v>878</v>
      </c>
      <c r="F44">
        <v>723</v>
      </c>
      <c r="G44">
        <v>3730</v>
      </c>
      <c r="H44">
        <v>826</v>
      </c>
      <c r="I44">
        <v>3011</v>
      </c>
      <c r="J44">
        <v>3146</v>
      </c>
      <c r="K44">
        <v>1265</v>
      </c>
      <c r="L44">
        <v>4567</v>
      </c>
      <c r="M44">
        <v>1590</v>
      </c>
      <c r="N44">
        <v>5839</v>
      </c>
      <c r="O44">
        <v>318</v>
      </c>
      <c r="P44">
        <v>5396</v>
      </c>
      <c r="Q44">
        <v>1243</v>
      </c>
      <c r="R44">
        <v>1209</v>
      </c>
      <c r="S44">
        <v>253</v>
      </c>
      <c r="T44">
        <v>1405</v>
      </c>
      <c r="U44">
        <v>3119</v>
      </c>
      <c r="V44">
        <v>740</v>
      </c>
      <c r="W44">
        <v>16</v>
      </c>
      <c r="X44">
        <v>0</v>
      </c>
      <c r="Y44">
        <v>19</v>
      </c>
      <c r="Z44">
        <v>17895</v>
      </c>
      <c r="AA44">
        <v>10217</v>
      </c>
      <c r="AB44">
        <v>6455</v>
      </c>
      <c r="AC44">
        <v>135</v>
      </c>
      <c r="AD44">
        <v>42</v>
      </c>
      <c r="AE44">
        <v>22</v>
      </c>
      <c r="AF44">
        <v>0</v>
      </c>
      <c r="AG44">
        <v>238</v>
      </c>
      <c r="AH44">
        <v>9</v>
      </c>
      <c r="AI44">
        <v>1</v>
      </c>
      <c r="AJ44">
        <v>2</v>
      </c>
      <c r="AK44">
        <v>1</v>
      </c>
      <c r="AL44">
        <v>0</v>
      </c>
      <c r="AM44">
        <v>11</v>
      </c>
      <c r="AN44">
        <v>29</v>
      </c>
      <c r="AO44">
        <v>37</v>
      </c>
      <c r="AP44">
        <v>16</v>
      </c>
      <c r="AQ44">
        <v>12</v>
      </c>
      <c r="AR44">
        <v>35</v>
      </c>
      <c r="AS44">
        <v>34</v>
      </c>
      <c r="AT44">
        <v>32</v>
      </c>
      <c r="AU44">
        <v>385</v>
      </c>
      <c r="AV44">
        <v>182</v>
      </c>
      <c r="AW44">
        <v>39</v>
      </c>
      <c r="AX44">
        <v>10</v>
      </c>
      <c r="AY44">
        <v>14</v>
      </c>
      <c r="AZ44">
        <v>8</v>
      </c>
      <c r="BA44">
        <v>14</v>
      </c>
      <c r="BB44">
        <v>13</v>
      </c>
      <c r="BC44">
        <v>1</v>
      </c>
      <c r="BD44">
        <v>137</v>
      </c>
      <c r="BE44">
        <v>2</v>
      </c>
      <c r="BF44">
        <v>6157</v>
      </c>
      <c r="BG44">
        <v>311</v>
      </c>
      <c r="BH44">
        <v>14</v>
      </c>
      <c r="BI44">
        <v>1</v>
      </c>
      <c r="BJ44">
        <f t="shared" ref="BJ44:BJ49" si="0">SUM(AD44:AN44)</f>
        <v>355</v>
      </c>
      <c r="BK44">
        <v>1043</v>
      </c>
      <c r="BL44">
        <v>368</v>
      </c>
      <c r="BM44">
        <v>7612</v>
      </c>
      <c r="BN44">
        <v>2535</v>
      </c>
      <c r="BO44">
        <v>244</v>
      </c>
      <c r="BP44">
        <v>293</v>
      </c>
      <c r="BQ44">
        <v>587</v>
      </c>
      <c r="BR44">
        <v>418</v>
      </c>
      <c r="BS44">
        <v>229</v>
      </c>
      <c r="BT44">
        <v>47</v>
      </c>
      <c r="BU44">
        <v>184</v>
      </c>
      <c r="BV44">
        <v>27</v>
      </c>
      <c r="BW44">
        <v>100</v>
      </c>
    </row>
    <row r="45" spans="1:75" x14ac:dyDescent="0.25">
      <c r="A45" s="2">
        <v>44044</v>
      </c>
      <c r="B45" s="3" t="s">
        <v>83</v>
      </c>
      <c r="C45">
        <v>2</v>
      </c>
      <c r="D45" s="1" t="s">
        <v>90</v>
      </c>
      <c r="E45">
        <v>974</v>
      </c>
      <c r="F45">
        <v>881</v>
      </c>
      <c r="G45">
        <v>4192</v>
      </c>
      <c r="H45">
        <v>862</v>
      </c>
      <c r="I45">
        <v>3448</v>
      </c>
      <c r="J45">
        <v>3461</v>
      </c>
      <c r="K45">
        <v>209</v>
      </c>
      <c r="L45">
        <v>4987</v>
      </c>
      <c r="M45">
        <v>1922</v>
      </c>
      <c r="N45">
        <v>6540</v>
      </c>
      <c r="O45">
        <v>369</v>
      </c>
      <c r="P45">
        <v>4747</v>
      </c>
      <c r="Q45">
        <v>451</v>
      </c>
      <c r="R45">
        <v>234</v>
      </c>
      <c r="S45">
        <v>387</v>
      </c>
      <c r="T45">
        <v>314</v>
      </c>
      <c r="U45">
        <v>1287</v>
      </c>
      <c r="V45">
        <v>1035</v>
      </c>
      <c r="W45">
        <v>6</v>
      </c>
      <c r="X45">
        <v>3</v>
      </c>
      <c r="Y45">
        <v>58</v>
      </c>
      <c r="Z45">
        <v>20338</v>
      </c>
      <c r="AA45">
        <v>13178</v>
      </c>
      <c r="AB45">
        <v>6619</v>
      </c>
      <c r="AC45">
        <v>3</v>
      </c>
      <c r="AD45">
        <v>28</v>
      </c>
      <c r="AE45">
        <v>15</v>
      </c>
      <c r="AF45">
        <v>0</v>
      </c>
      <c r="AG45">
        <v>219</v>
      </c>
      <c r="AH45">
        <v>16</v>
      </c>
      <c r="AI45">
        <v>1</v>
      </c>
      <c r="AJ45">
        <v>5</v>
      </c>
      <c r="AK45">
        <v>1</v>
      </c>
      <c r="AL45">
        <v>0</v>
      </c>
      <c r="AM45">
        <v>8</v>
      </c>
      <c r="AN45">
        <v>17</v>
      </c>
      <c r="AO45">
        <v>38</v>
      </c>
      <c r="AP45">
        <v>34</v>
      </c>
      <c r="AQ45">
        <v>10</v>
      </c>
      <c r="AR45">
        <v>28</v>
      </c>
      <c r="AS45">
        <v>58</v>
      </c>
      <c r="AT45">
        <v>28</v>
      </c>
      <c r="AU45">
        <v>499</v>
      </c>
      <c r="AV45">
        <v>191</v>
      </c>
      <c r="AW45">
        <v>24</v>
      </c>
      <c r="AX45">
        <v>6</v>
      </c>
      <c r="AY45">
        <v>11</v>
      </c>
      <c r="AZ45">
        <v>5</v>
      </c>
      <c r="BA45">
        <v>13</v>
      </c>
      <c r="BB45">
        <v>20</v>
      </c>
      <c r="BC45">
        <v>0</v>
      </c>
      <c r="BD45">
        <v>111</v>
      </c>
      <c r="BE45">
        <v>0</v>
      </c>
      <c r="BF45">
        <v>6909</v>
      </c>
      <c r="BG45">
        <v>278</v>
      </c>
      <c r="BH45">
        <v>14</v>
      </c>
      <c r="BI45">
        <v>1</v>
      </c>
      <c r="BJ45">
        <f t="shared" si="0"/>
        <v>310</v>
      </c>
      <c r="BK45">
        <v>714</v>
      </c>
      <c r="BL45">
        <v>412</v>
      </c>
      <c r="BM45">
        <v>8254</v>
      </c>
      <c r="BN45">
        <v>2792</v>
      </c>
      <c r="BO45">
        <v>211</v>
      </c>
      <c r="BP45">
        <v>393</v>
      </c>
      <c r="BQ45">
        <v>596</v>
      </c>
      <c r="BR45">
        <v>381</v>
      </c>
      <c r="BS45">
        <v>210</v>
      </c>
      <c r="BT45">
        <v>36</v>
      </c>
      <c r="BU45">
        <v>164</v>
      </c>
      <c r="BV45">
        <v>24</v>
      </c>
      <c r="BW45">
        <v>162</v>
      </c>
    </row>
    <row r="46" spans="1:75" x14ac:dyDescent="0.25">
      <c r="A46" s="2">
        <v>44075</v>
      </c>
      <c r="B46" s="3" t="s">
        <v>84</v>
      </c>
      <c r="C46">
        <v>3</v>
      </c>
      <c r="D46" s="1" t="s">
        <v>90</v>
      </c>
      <c r="E46">
        <v>1015</v>
      </c>
      <c r="F46">
        <v>871</v>
      </c>
      <c r="G46">
        <v>4284</v>
      </c>
      <c r="H46">
        <v>888</v>
      </c>
      <c r="I46" s="4">
        <v>3456</v>
      </c>
      <c r="J46" s="4">
        <v>3602</v>
      </c>
      <c r="K46" s="5">
        <v>439</v>
      </c>
      <c r="L46">
        <v>4946</v>
      </c>
      <c r="M46">
        <v>2112</v>
      </c>
      <c r="N46">
        <v>6703</v>
      </c>
      <c r="O46">
        <v>345</v>
      </c>
      <c r="P46">
        <v>4719</v>
      </c>
      <c r="Q46">
        <v>511</v>
      </c>
      <c r="R46">
        <v>234</v>
      </c>
      <c r="S46">
        <v>414</v>
      </c>
      <c r="T46">
        <v>395</v>
      </c>
      <c r="U46">
        <v>2112</v>
      </c>
      <c r="V46">
        <v>1098</v>
      </c>
      <c r="W46">
        <v>5</v>
      </c>
      <c r="X46">
        <v>0</v>
      </c>
      <c r="Y46">
        <v>49</v>
      </c>
      <c r="Z46">
        <v>21379</v>
      </c>
      <c r="AA46">
        <v>13230</v>
      </c>
      <c r="AB46">
        <v>6708</v>
      </c>
      <c r="AC46">
        <v>5</v>
      </c>
      <c r="AD46">
        <v>50</v>
      </c>
      <c r="AE46">
        <v>19</v>
      </c>
      <c r="AF46">
        <v>5</v>
      </c>
      <c r="AG46">
        <v>233</v>
      </c>
      <c r="AH46">
        <v>6</v>
      </c>
      <c r="AI46">
        <v>1</v>
      </c>
      <c r="AJ46">
        <v>8</v>
      </c>
      <c r="AK46">
        <v>2</v>
      </c>
      <c r="AL46">
        <v>0</v>
      </c>
      <c r="AM46">
        <v>16</v>
      </c>
      <c r="AN46">
        <v>22</v>
      </c>
      <c r="AO46">
        <v>41</v>
      </c>
      <c r="AP46">
        <v>11</v>
      </c>
      <c r="AQ46">
        <v>3</v>
      </c>
      <c r="AR46">
        <v>21</v>
      </c>
      <c r="AS46">
        <v>37</v>
      </c>
      <c r="AT46">
        <v>18</v>
      </c>
      <c r="AU46">
        <v>564</v>
      </c>
      <c r="AV46">
        <v>216</v>
      </c>
      <c r="AW46">
        <v>23</v>
      </c>
      <c r="AX46">
        <v>8</v>
      </c>
      <c r="AY46">
        <v>10</v>
      </c>
      <c r="AZ46">
        <v>3</v>
      </c>
      <c r="BA46">
        <v>5</v>
      </c>
      <c r="BB46">
        <v>13</v>
      </c>
      <c r="BC46">
        <v>0</v>
      </c>
      <c r="BD46">
        <v>104</v>
      </c>
      <c r="BE46">
        <v>0</v>
      </c>
      <c r="BF46">
        <f t="shared" ref="BF46:BF87" si="1">E46+F46+G46+H46</f>
        <v>7058</v>
      </c>
      <c r="BG46">
        <f t="shared" ref="BG46:BG87" si="2">AD46+AE46+AF46+AG46+AH46</f>
        <v>313</v>
      </c>
      <c r="BH46">
        <f t="shared" ref="BH46:BH87" si="3">AJ46+AK46+AL46+AM46</f>
        <v>26</v>
      </c>
      <c r="BI46">
        <f t="shared" ref="BI46:BI87" si="4">AI46</f>
        <v>1</v>
      </c>
      <c r="BJ46">
        <f t="shared" si="0"/>
        <v>362</v>
      </c>
      <c r="BK46">
        <v>700</v>
      </c>
      <c r="BL46">
        <v>520</v>
      </c>
      <c r="BM46">
        <v>13835</v>
      </c>
      <c r="BN46">
        <v>2655</v>
      </c>
      <c r="BO46">
        <v>224</v>
      </c>
      <c r="BP46">
        <v>415</v>
      </c>
      <c r="BQ46">
        <v>711</v>
      </c>
      <c r="BR46">
        <v>382</v>
      </c>
      <c r="BS46">
        <v>218</v>
      </c>
      <c r="BT46">
        <v>42</v>
      </c>
      <c r="BU46">
        <v>210</v>
      </c>
      <c r="BV46">
        <v>18</v>
      </c>
      <c r="BW46">
        <v>223</v>
      </c>
    </row>
    <row r="47" spans="1:75" x14ac:dyDescent="0.25">
      <c r="A47" s="2">
        <v>44105</v>
      </c>
      <c r="B47" s="3" t="s">
        <v>85</v>
      </c>
      <c r="C47">
        <v>3</v>
      </c>
      <c r="D47" s="1" t="s">
        <v>90</v>
      </c>
      <c r="E47">
        <v>972</v>
      </c>
      <c r="F47">
        <v>873</v>
      </c>
      <c r="G47">
        <v>4132</v>
      </c>
      <c r="H47">
        <v>884</v>
      </c>
      <c r="I47">
        <v>3552</v>
      </c>
      <c r="J47">
        <v>3309</v>
      </c>
      <c r="K47">
        <v>159</v>
      </c>
      <c r="L47">
        <v>4480</v>
      </c>
      <c r="M47">
        <v>2381</v>
      </c>
      <c r="N47">
        <v>6576</v>
      </c>
      <c r="O47">
        <v>285</v>
      </c>
      <c r="P47">
        <v>4476</v>
      </c>
      <c r="Q47">
        <v>479</v>
      </c>
      <c r="R47">
        <v>243</v>
      </c>
      <c r="S47">
        <v>370</v>
      </c>
      <c r="T47">
        <v>325</v>
      </c>
      <c r="U47">
        <v>1358</v>
      </c>
      <c r="V47">
        <v>1084</v>
      </c>
      <c r="W47">
        <v>10</v>
      </c>
      <c r="X47">
        <v>0</v>
      </c>
      <c r="Y47">
        <v>30</v>
      </c>
      <c r="Z47">
        <v>20216</v>
      </c>
      <c r="AA47">
        <v>13545</v>
      </c>
      <c r="AB47">
        <v>6576</v>
      </c>
      <c r="AC47">
        <v>0</v>
      </c>
      <c r="AD47">
        <v>40</v>
      </c>
      <c r="AE47">
        <v>32</v>
      </c>
      <c r="AF47">
        <v>1</v>
      </c>
      <c r="AG47">
        <v>218</v>
      </c>
      <c r="AH47">
        <v>14</v>
      </c>
      <c r="AI47">
        <v>2</v>
      </c>
      <c r="AJ47">
        <v>16</v>
      </c>
      <c r="AK47">
        <v>9</v>
      </c>
      <c r="AL47">
        <v>0</v>
      </c>
      <c r="AM47">
        <v>10</v>
      </c>
      <c r="AN47">
        <v>31</v>
      </c>
      <c r="AO47">
        <v>32</v>
      </c>
      <c r="AP47">
        <v>21</v>
      </c>
      <c r="AQ47">
        <v>12</v>
      </c>
      <c r="AR47">
        <v>61</v>
      </c>
      <c r="AS47">
        <v>62</v>
      </c>
      <c r="AT47">
        <v>30</v>
      </c>
      <c r="AU47">
        <v>542</v>
      </c>
      <c r="AV47">
        <v>184</v>
      </c>
      <c r="AW47">
        <v>21</v>
      </c>
      <c r="AX47">
        <v>23</v>
      </c>
      <c r="AY47">
        <v>20</v>
      </c>
      <c r="AZ47">
        <v>3</v>
      </c>
      <c r="BA47">
        <v>9</v>
      </c>
      <c r="BB47">
        <v>20</v>
      </c>
      <c r="BC47">
        <v>2</v>
      </c>
      <c r="BD47">
        <v>152</v>
      </c>
      <c r="BE47">
        <v>7</v>
      </c>
      <c r="BF47">
        <f t="shared" si="1"/>
        <v>6861</v>
      </c>
      <c r="BG47">
        <f t="shared" si="2"/>
        <v>305</v>
      </c>
      <c r="BH47">
        <f t="shared" si="3"/>
        <v>35</v>
      </c>
      <c r="BI47">
        <f t="shared" si="4"/>
        <v>2</v>
      </c>
      <c r="BJ47">
        <f t="shared" si="0"/>
        <v>373</v>
      </c>
      <c r="BK47">
        <v>820</v>
      </c>
      <c r="BL47">
        <v>619</v>
      </c>
      <c r="BM47">
        <v>8157</v>
      </c>
      <c r="BN47">
        <v>2914</v>
      </c>
      <c r="BO47">
        <v>401</v>
      </c>
      <c r="BP47">
        <v>331</v>
      </c>
      <c r="BQ47">
        <v>558</v>
      </c>
      <c r="BR47">
        <v>434</v>
      </c>
      <c r="BS47">
        <v>250</v>
      </c>
      <c r="BT47">
        <v>26</v>
      </c>
      <c r="BU47">
        <v>233</v>
      </c>
      <c r="BV47">
        <v>16</v>
      </c>
      <c r="BW47">
        <v>33</v>
      </c>
    </row>
    <row r="48" spans="1:75" x14ac:dyDescent="0.25">
      <c r="A48" s="2">
        <v>44136</v>
      </c>
      <c r="B48" s="3" t="s">
        <v>86</v>
      </c>
      <c r="C48">
        <v>3</v>
      </c>
      <c r="D48" s="1" t="s">
        <v>90</v>
      </c>
      <c r="E48">
        <v>904</v>
      </c>
      <c r="F48">
        <v>784</v>
      </c>
      <c r="G48">
        <v>3862</v>
      </c>
      <c r="H48">
        <v>795</v>
      </c>
      <c r="I48">
        <v>3194</v>
      </c>
      <c r="J48">
        <v>3151</v>
      </c>
      <c r="K48">
        <v>168</v>
      </c>
      <c r="L48">
        <v>4309</v>
      </c>
      <c r="M48">
        <v>2026</v>
      </c>
      <c r="N48">
        <v>6045</v>
      </c>
      <c r="O48">
        <v>300</v>
      </c>
      <c r="P48">
        <v>4335</v>
      </c>
      <c r="Q48">
        <v>475</v>
      </c>
      <c r="R48">
        <v>218</v>
      </c>
      <c r="S48">
        <v>309</v>
      </c>
      <c r="T48">
        <v>270</v>
      </c>
      <c r="U48">
        <v>1236</v>
      </c>
      <c r="V48">
        <v>1057</v>
      </c>
      <c r="W48">
        <v>8</v>
      </c>
      <c r="X48">
        <v>0</v>
      </c>
      <c r="Y48">
        <v>20</v>
      </c>
      <c r="Z48">
        <v>18766</v>
      </c>
      <c r="AA48">
        <v>12407</v>
      </c>
      <c r="AB48">
        <v>5792</v>
      </c>
      <c r="AC48">
        <v>2</v>
      </c>
      <c r="AD48">
        <v>41</v>
      </c>
      <c r="AE48">
        <v>37</v>
      </c>
      <c r="AF48">
        <v>0</v>
      </c>
      <c r="AG48">
        <v>310</v>
      </c>
      <c r="AH48">
        <v>16</v>
      </c>
      <c r="AI48">
        <v>1</v>
      </c>
      <c r="AJ48">
        <v>2</v>
      </c>
      <c r="AK48">
        <v>8</v>
      </c>
      <c r="AL48">
        <v>1</v>
      </c>
      <c r="AM48">
        <v>17</v>
      </c>
      <c r="AN48">
        <v>26</v>
      </c>
      <c r="AO48">
        <v>56</v>
      </c>
      <c r="AP48">
        <v>21</v>
      </c>
      <c r="AQ48">
        <v>7</v>
      </c>
      <c r="AR48">
        <v>34</v>
      </c>
      <c r="AS48">
        <v>57</v>
      </c>
      <c r="AT48">
        <v>78</v>
      </c>
      <c r="AU48">
        <v>788</v>
      </c>
      <c r="AV48">
        <v>177</v>
      </c>
      <c r="AW48">
        <v>21</v>
      </c>
      <c r="AX48">
        <v>22</v>
      </c>
      <c r="AY48">
        <v>10</v>
      </c>
      <c r="AZ48">
        <v>5</v>
      </c>
      <c r="BA48">
        <v>6</v>
      </c>
      <c r="BB48">
        <v>17</v>
      </c>
      <c r="BC48">
        <v>1</v>
      </c>
      <c r="BD48">
        <v>117</v>
      </c>
      <c r="BE48">
        <v>1</v>
      </c>
      <c r="BF48">
        <f t="shared" si="1"/>
        <v>6345</v>
      </c>
      <c r="BG48">
        <f t="shared" si="2"/>
        <v>404</v>
      </c>
      <c r="BH48">
        <f t="shared" si="3"/>
        <v>28</v>
      </c>
      <c r="BI48">
        <f t="shared" si="4"/>
        <v>1</v>
      </c>
      <c r="BJ48">
        <f t="shared" si="0"/>
        <v>459</v>
      </c>
      <c r="BK48">
        <v>895</v>
      </c>
      <c r="BL48">
        <v>286</v>
      </c>
      <c r="BM48">
        <f>SUM(AN48:BL48)</f>
        <v>9862</v>
      </c>
      <c r="BN48">
        <v>3015</v>
      </c>
      <c r="BO48">
        <v>378</v>
      </c>
      <c r="BP48">
        <v>340</v>
      </c>
      <c r="BQ48">
        <v>434</v>
      </c>
      <c r="BR48">
        <v>376</v>
      </c>
      <c r="BS48">
        <v>213</v>
      </c>
      <c r="BT48">
        <v>32</v>
      </c>
      <c r="BU48">
        <v>112</v>
      </c>
      <c r="BV48">
        <v>20</v>
      </c>
      <c r="BW48">
        <v>57</v>
      </c>
    </row>
    <row r="49" spans="1:75" x14ac:dyDescent="0.25">
      <c r="A49" s="2">
        <v>44166</v>
      </c>
      <c r="B49" s="3" t="s">
        <v>87</v>
      </c>
      <c r="C49">
        <v>3</v>
      </c>
      <c r="D49" s="1" t="s">
        <v>90</v>
      </c>
      <c r="E49">
        <v>1232</v>
      </c>
      <c r="F49">
        <v>849</v>
      </c>
      <c r="G49">
        <v>4232</v>
      </c>
      <c r="H49">
        <v>911</v>
      </c>
      <c r="I49">
        <v>3608</v>
      </c>
      <c r="J49">
        <v>3616</v>
      </c>
      <c r="K49">
        <v>215</v>
      </c>
      <c r="L49">
        <v>5038</v>
      </c>
      <c r="M49">
        <v>2186</v>
      </c>
      <c r="N49">
        <v>6897</v>
      </c>
      <c r="O49">
        <v>327</v>
      </c>
      <c r="P49">
        <v>4763</v>
      </c>
      <c r="Q49">
        <v>651</v>
      </c>
      <c r="R49">
        <v>280</v>
      </c>
      <c r="S49">
        <v>391</v>
      </c>
      <c r="T49">
        <v>354</v>
      </c>
      <c r="U49">
        <v>1547</v>
      </c>
      <c r="V49">
        <v>1362</v>
      </c>
      <c r="W49">
        <v>16</v>
      </c>
      <c r="X49">
        <v>249</v>
      </c>
      <c r="Y49">
        <v>39</v>
      </c>
      <c r="Z49">
        <v>21100</v>
      </c>
      <c r="AA49">
        <v>14350</v>
      </c>
      <c r="AB49">
        <v>6870</v>
      </c>
      <c r="AC49">
        <v>12</v>
      </c>
      <c r="AD49">
        <v>38</v>
      </c>
      <c r="AE49">
        <v>19</v>
      </c>
      <c r="AF49">
        <v>0</v>
      </c>
      <c r="AG49">
        <v>279</v>
      </c>
      <c r="AH49">
        <v>7</v>
      </c>
      <c r="AI49">
        <v>1</v>
      </c>
      <c r="AJ49">
        <v>7</v>
      </c>
      <c r="AK49">
        <v>0</v>
      </c>
      <c r="AL49">
        <v>0</v>
      </c>
      <c r="AM49">
        <v>4</v>
      </c>
      <c r="AN49">
        <v>34</v>
      </c>
      <c r="AO49">
        <v>40</v>
      </c>
      <c r="AP49">
        <v>30</v>
      </c>
      <c r="AQ49">
        <v>5</v>
      </c>
      <c r="AR49">
        <v>46</v>
      </c>
      <c r="AS49">
        <v>84</v>
      </c>
      <c r="AT49">
        <v>40</v>
      </c>
      <c r="AU49">
        <v>897</v>
      </c>
      <c r="AV49">
        <v>192</v>
      </c>
      <c r="AW49">
        <v>25</v>
      </c>
      <c r="AX49">
        <v>24</v>
      </c>
      <c r="AY49">
        <v>15</v>
      </c>
      <c r="AZ49">
        <v>1</v>
      </c>
      <c r="BA49">
        <v>14</v>
      </c>
      <c r="BB49">
        <v>15</v>
      </c>
      <c r="BC49">
        <v>2</v>
      </c>
      <c r="BD49">
        <v>114</v>
      </c>
      <c r="BE49">
        <v>6</v>
      </c>
      <c r="BF49">
        <f t="shared" si="1"/>
        <v>7224</v>
      </c>
      <c r="BG49">
        <f t="shared" si="2"/>
        <v>343</v>
      </c>
      <c r="BH49">
        <f t="shared" si="3"/>
        <v>11</v>
      </c>
      <c r="BI49">
        <f t="shared" si="4"/>
        <v>1</v>
      </c>
      <c r="BJ49">
        <f t="shared" si="0"/>
        <v>389</v>
      </c>
      <c r="BK49">
        <v>895</v>
      </c>
      <c r="BL49">
        <v>320</v>
      </c>
      <c r="BM49">
        <f>SUM(AN49:BL49)</f>
        <v>10767</v>
      </c>
      <c r="BN49">
        <v>2193</v>
      </c>
      <c r="BO49">
        <v>397</v>
      </c>
      <c r="BP49">
        <v>234</v>
      </c>
      <c r="BQ49">
        <v>332</v>
      </c>
      <c r="BR49">
        <v>402</v>
      </c>
      <c r="BS49">
        <v>198</v>
      </c>
      <c r="BT49">
        <v>19</v>
      </c>
      <c r="BU49">
        <v>85</v>
      </c>
      <c r="BV49">
        <v>9</v>
      </c>
      <c r="BW49">
        <v>21</v>
      </c>
    </row>
    <row r="50" spans="1:75" s="8" customFormat="1" x14ac:dyDescent="0.25">
      <c r="A50" s="6">
        <v>44197</v>
      </c>
      <c r="B50" s="7" t="s">
        <v>75</v>
      </c>
      <c r="C50" s="8">
        <v>1</v>
      </c>
      <c r="D50" s="9" t="s">
        <v>91</v>
      </c>
      <c r="E50" s="8">
        <v>1147</v>
      </c>
      <c r="F50" s="8">
        <v>833</v>
      </c>
      <c r="G50" s="8">
        <v>4198</v>
      </c>
      <c r="H50" s="8">
        <v>988</v>
      </c>
      <c r="I50" s="8">
        <v>3623</v>
      </c>
      <c r="J50" s="8">
        <v>3543</v>
      </c>
      <c r="K50" s="8">
        <v>493</v>
      </c>
      <c r="L50" s="8">
        <v>5226</v>
      </c>
      <c r="M50" s="8">
        <v>1940</v>
      </c>
      <c r="N50" s="8">
        <v>6815</v>
      </c>
      <c r="O50" s="8">
        <v>351</v>
      </c>
      <c r="P50" s="8">
        <v>7361</v>
      </c>
      <c r="Q50" s="8">
        <v>2434</v>
      </c>
      <c r="R50" s="8">
        <v>1070</v>
      </c>
      <c r="S50" s="8">
        <v>453</v>
      </c>
      <c r="T50" s="8">
        <v>1532</v>
      </c>
      <c r="U50" s="8">
        <v>6367</v>
      </c>
      <c r="V50" s="8">
        <v>1119</v>
      </c>
      <c r="W50" s="8">
        <v>10</v>
      </c>
      <c r="X50" s="8">
        <v>39</v>
      </c>
      <c r="Y50" s="8">
        <v>32</v>
      </c>
      <c r="Z50" s="8">
        <v>24846</v>
      </c>
      <c r="AA50" s="8">
        <v>14169</v>
      </c>
      <c r="AB50" s="8">
        <v>10416</v>
      </c>
      <c r="AC50" s="8">
        <v>116</v>
      </c>
      <c r="AD50" s="8">
        <v>42</v>
      </c>
      <c r="AE50" s="8">
        <v>23</v>
      </c>
      <c r="AF50" s="8">
        <v>2</v>
      </c>
      <c r="AG50" s="8">
        <v>218</v>
      </c>
      <c r="AH50" s="8">
        <v>12</v>
      </c>
      <c r="AI50" s="8">
        <v>1</v>
      </c>
      <c r="AJ50" s="8">
        <v>3</v>
      </c>
      <c r="AK50" s="8">
        <v>13</v>
      </c>
      <c r="AL50" s="8">
        <v>1</v>
      </c>
      <c r="AM50" s="8">
        <v>2</v>
      </c>
      <c r="AN50" s="8">
        <v>24</v>
      </c>
      <c r="AO50" s="8">
        <v>34</v>
      </c>
      <c r="AP50" s="8">
        <v>26</v>
      </c>
      <c r="AQ50" s="8">
        <v>10</v>
      </c>
      <c r="AR50" s="8">
        <v>22</v>
      </c>
      <c r="AS50" s="8">
        <v>63</v>
      </c>
      <c r="AT50" s="8">
        <v>29</v>
      </c>
      <c r="AU50" s="8">
        <v>535</v>
      </c>
      <c r="AV50" s="8">
        <v>160</v>
      </c>
      <c r="AW50" s="8">
        <v>20</v>
      </c>
      <c r="AX50" s="8">
        <v>20</v>
      </c>
      <c r="AY50" s="8">
        <v>12</v>
      </c>
      <c r="AZ50" s="8">
        <v>5</v>
      </c>
      <c r="BA50" s="8">
        <v>10</v>
      </c>
      <c r="BB50" s="8">
        <v>25</v>
      </c>
      <c r="BC50" s="8">
        <v>2</v>
      </c>
      <c r="BD50" s="8">
        <v>92</v>
      </c>
      <c r="BE50" s="8">
        <v>7</v>
      </c>
      <c r="BF50" s="8">
        <f t="shared" si="1"/>
        <v>7166</v>
      </c>
      <c r="BG50" s="8">
        <f t="shared" si="2"/>
        <v>297</v>
      </c>
      <c r="BH50" s="8">
        <f t="shared" si="3"/>
        <v>19</v>
      </c>
      <c r="BI50" s="8">
        <f t="shared" si="4"/>
        <v>1</v>
      </c>
      <c r="BJ50" s="8">
        <f>SUM(AD50:AN50)</f>
        <v>341</v>
      </c>
      <c r="BK50" s="8">
        <v>917</v>
      </c>
      <c r="BL50" s="8">
        <v>341</v>
      </c>
      <c r="BM50" s="8">
        <v>9566</v>
      </c>
      <c r="BN50" s="8">
        <v>2099</v>
      </c>
      <c r="BO50" s="8">
        <v>328</v>
      </c>
      <c r="BP50" s="8">
        <v>316</v>
      </c>
      <c r="BQ50" s="8">
        <f>SUM(BS50:BW50)</f>
        <v>726</v>
      </c>
      <c r="BR50" s="8">
        <f>AV50+AW50+AX50+AY50+AZ50+BA50+BB50+BC50+BD50+AO50</f>
        <v>380</v>
      </c>
      <c r="BS50" s="8">
        <v>211</v>
      </c>
      <c r="BT50" s="8">
        <v>89</v>
      </c>
      <c r="BU50" s="8">
        <v>140</v>
      </c>
      <c r="BV50" s="8">
        <v>78</v>
      </c>
      <c r="BW50" s="8">
        <v>208</v>
      </c>
    </row>
    <row r="51" spans="1:75" s="8" customFormat="1" x14ac:dyDescent="0.25">
      <c r="A51" s="6">
        <v>44228</v>
      </c>
      <c r="B51" s="7" t="s">
        <v>77</v>
      </c>
      <c r="C51" s="8">
        <v>1</v>
      </c>
      <c r="D51" s="9" t="s">
        <v>91</v>
      </c>
      <c r="E51" s="8">
        <v>888</v>
      </c>
      <c r="F51" s="8">
        <v>701</v>
      </c>
      <c r="G51" s="8">
        <v>3564</v>
      </c>
      <c r="H51" s="8">
        <v>780</v>
      </c>
      <c r="I51" s="8">
        <v>3007</v>
      </c>
      <c r="J51" s="8">
        <v>2926</v>
      </c>
      <c r="K51" s="8">
        <v>1067</v>
      </c>
      <c r="L51" s="8">
        <v>4513</v>
      </c>
      <c r="M51" s="8">
        <v>1420</v>
      </c>
      <c r="N51" s="8">
        <v>5739</v>
      </c>
      <c r="O51" s="8">
        <v>194</v>
      </c>
      <c r="P51" s="8">
        <v>5693</v>
      </c>
      <c r="Q51" s="8">
        <v>1521</v>
      </c>
      <c r="R51" s="8">
        <v>755</v>
      </c>
      <c r="S51" s="8">
        <v>101</v>
      </c>
      <c r="T51" s="8">
        <v>649</v>
      </c>
      <c r="U51" s="8">
        <v>5109</v>
      </c>
      <c r="V51" s="8">
        <v>767</v>
      </c>
      <c r="W51" s="8">
        <v>5</v>
      </c>
      <c r="X51" s="8">
        <v>4</v>
      </c>
      <c r="Y51" s="8">
        <v>17</v>
      </c>
      <c r="Z51" s="8">
        <v>16698</v>
      </c>
      <c r="AA51" s="8">
        <v>9555</v>
      </c>
      <c r="AB51" s="8">
        <v>7572</v>
      </c>
      <c r="AC51" s="8">
        <v>81</v>
      </c>
      <c r="AD51" s="8">
        <v>527</v>
      </c>
      <c r="AE51" s="8">
        <v>279</v>
      </c>
      <c r="AF51" s="8">
        <v>226</v>
      </c>
      <c r="AG51" s="8">
        <v>142</v>
      </c>
      <c r="AH51" s="8">
        <v>14</v>
      </c>
      <c r="AI51" s="8">
        <v>0</v>
      </c>
      <c r="AJ51" s="8">
        <v>3</v>
      </c>
      <c r="AK51" s="8">
        <v>6</v>
      </c>
      <c r="AL51" s="8">
        <v>1</v>
      </c>
      <c r="AM51" s="8">
        <v>6</v>
      </c>
      <c r="AN51" s="8">
        <v>16</v>
      </c>
      <c r="AO51" s="8">
        <v>28</v>
      </c>
      <c r="AP51" s="8">
        <v>8</v>
      </c>
      <c r="AQ51" s="8">
        <v>2</v>
      </c>
      <c r="AR51" s="8">
        <v>27</v>
      </c>
      <c r="AS51" s="8">
        <v>35</v>
      </c>
      <c r="AT51" s="8">
        <v>18</v>
      </c>
      <c r="AU51" s="8">
        <v>553</v>
      </c>
      <c r="AV51" s="8">
        <v>155</v>
      </c>
      <c r="AW51" s="8">
        <v>12</v>
      </c>
      <c r="AX51" s="8">
        <v>17</v>
      </c>
      <c r="AY51" s="8">
        <v>15</v>
      </c>
      <c r="AZ51" s="8">
        <v>2</v>
      </c>
      <c r="BA51" s="8">
        <v>5</v>
      </c>
      <c r="BB51" s="8">
        <v>25</v>
      </c>
      <c r="BC51" s="8">
        <v>2</v>
      </c>
      <c r="BD51" s="8">
        <v>87</v>
      </c>
      <c r="BE51" s="8">
        <v>2</v>
      </c>
      <c r="BF51" s="8">
        <f t="shared" si="1"/>
        <v>5933</v>
      </c>
      <c r="BG51" s="8">
        <f t="shared" si="2"/>
        <v>1188</v>
      </c>
      <c r="BH51" s="8">
        <f t="shared" si="3"/>
        <v>16</v>
      </c>
      <c r="BI51" s="8">
        <f t="shared" si="4"/>
        <v>0</v>
      </c>
      <c r="BJ51" s="8">
        <f>SUM(AD51:AN51)</f>
        <v>1220</v>
      </c>
      <c r="BK51" s="8">
        <v>1440</v>
      </c>
      <c r="BL51" s="8">
        <v>284</v>
      </c>
      <c r="BM51" s="8">
        <v>8917</v>
      </c>
      <c r="BN51" s="8">
        <v>2134</v>
      </c>
      <c r="BO51" s="8">
        <v>244</v>
      </c>
      <c r="BP51" s="8">
        <v>260</v>
      </c>
      <c r="BQ51" s="8">
        <f>SUM(BS51:BW51)</f>
        <v>638</v>
      </c>
      <c r="BR51" s="8">
        <f t="shared" ref="BR51:BR114" si="5">AV51+AW51+AX51+AY51+AZ51+BA51+BB51+BC51+BD51+AO51</f>
        <v>348</v>
      </c>
      <c r="BS51">
        <v>286</v>
      </c>
      <c r="BT51">
        <v>43</v>
      </c>
      <c r="BU51">
        <v>213</v>
      </c>
      <c r="BV51">
        <v>28</v>
      </c>
      <c r="BW51">
        <v>68</v>
      </c>
    </row>
    <row r="52" spans="1:75" s="8" customFormat="1" x14ac:dyDescent="0.25">
      <c r="A52" s="6">
        <v>44256</v>
      </c>
      <c r="B52" s="7" t="s">
        <v>78</v>
      </c>
      <c r="C52" s="8">
        <v>1</v>
      </c>
      <c r="D52" s="9" t="s">
        <v>91</v>
      </c>
      <c r="E52">
        <v>846</v>
      </c>
      <c r="F52">
        <v>829</v>
      </c>
      <c r="G52">
        <v>3799</v>
      </c>
      <c r="H52">
        <v>908</v>
      </c>
      <c r="I52">
        <v>3216</v>
      </c>
      <c r="J52">
        <v>3166</v>
      </c>
      <c r="K52">
        <v>1003</v>
      </c>
      <c r="L52">
        <v>4804</v>
      </c>
      <c r="M52">
        <v>1578</v>
      </c>
      <c r="N52">
        <v>6139</v>
      </c>
      <c r="O52">
        <v>243</v>
      </c>
      <c r="P52">
        <v>5348</v>
      </c>
      <c r="Q52">
        <v>1732</v>
      </c>
      <c r="R52">
        <v>1171</v>
      </c>
      <c r="S52">
        <v>146</v>
      </c>
      <c r="T52">
        <v>1087</v>
      </c>
      <c r="U52">
        <v>7173</v>
      </c>
      <c r="V52">
        <v>1278</v>
      </c>
      <c r="W52">
        <v>9</v>
      </c>
      <c r="X52">
        <v>10</v>
      </c>
      <c r="Y52">
        <v>24</v>
      </c>
      <c r="Z52">
        <v>16912</v>
      </c>
      <c r="AA52">
        <v>8766</v>
      </c>
      <c r="AB52">
        <v>6824</v>
      </c>
      <c r="AC52">
        <v>64</v>
      </c>
      <c r="AD52">
        <v>39</v>
      </c>
      <c r="AE52">
        <v>15</v>
      </c>
      <c r="AF52">
        <v>4</v>
      </c>
      <c r="AG52">
        <v>134</v>
      </c>
      <c r="AH52">
        <v>10</v>
      </c>
      <c r="AI52">
        <v>1</v>
      </c>
      <c r="AJ52">
        <v>2</v>
      </c>
      <c r="AK52">
        <v>1</v>
      </c>
      <c r="AL52">
        <v>0</v>
      </c>
      <c r="AM52">
        <v>15</v>
      </c>
      <c r="AN52">
        <v>10</v>
      </c>
      <c r="AO52">
        <v>23</v>
      </c>
      <c r="AP52">
        <v>13</v>
      </c>
      <c r="AQ52">
        <v>10</v>
      </c>
      <c r="AR52">
        <v>32</v>
      </c>
      <c r="AS52">
        <v>28</v>
      </c>
      <c r="AT52">
        <v>15</v>
      </c>
      <c r="AU52">
        <v>649</v>
      </c>
      <c r="AV52">
        <v>195</v>
      </c>
      <c r="AW52">
        <v>11</v>
      </c>
      <c r="AX52">
        <v>10</v>
      </c>
      <c r="AY52">
        <v>9</v>
      </c>
      <c r="AZ52">
        <v>2</v>
      </c>
      <c r="BA52">
        <v>10</v>
      </c>
      <c r="BB52">
        <v>7</v>
      </c>
      <c r="BC52">
        <v>3</v>
      </c>
      <c r="BD52">
        <v>112</v>
      </c>
      <c r="BE52">
        <v>8</v>
      </c>
      <c r="BF52" s="8">
        <f t="shared" si="1"/>
        <v>6382</v>
      </c>
      <c r="BG52" s="8">
        <f t="shared" si="2"/>
        <v>202</v>
      </c>
      <c r="BH52" s="8">
        <f t="shared" si="3"/>
        <v>18</v>
      </c>
      <c r="BI52" s="8">
        <f t="shared" si="4"/>
        <v>1</v>
      </c>
      <c r="BJ52" s="8">
        <f>SUM(AD52:AN52)</f>
        <v>231</v>
      </c>
      <c r="BK52" s="8">
        <v>750</v>
      </c>
      <c r="BL52" s="8">
        <v>324</v>
      </c>
      <c r="BM52" s="8">
        <v>8329</v>
      </c>
      <c r="BN52" s="8">
        <v>2159</v>
      </c>
      <c r="BO52" s="8">
        <v>287</v>
      </c>
      <c r="BP52" s="8">
        <v>260</v>
      </c>
      <c r="BQ52" s="8">
        <f>SUM(BS52:BW52)</f>
        <v>519</v>
      </c>
      <c r="BR52" s="8">
        <f t="shared" si="5"/>
        <v>382</v>
      </c>
      <c r="BS52">
        <v>250</v>
      </c>
      <c r="BT52">
        <v>25</v>
      </c>
      <c r="BU52">
        <v>165</v>
      </c>
      <c r="BV52">
        <v>13</v>
      </c>
      <c r="BW52">
        <v>66</v>
      </c>
    </row>
    <row r="53" spans="1:75" s="8" customFormat="1" x14ac:dyDescent="0.25">
      <c r="A53" s="6">
        <v>44287</v>
      </c>
      <c r="B53" s="7" t="s">
        <v>79</v>
      </c>
      <c r="C53" s="8">
        <v>1</v>
      </c>
      <c r="D53" s="9" t="s">
        <v>91</v>
      </c>
      <c r="E53" s="8">
        <v>640</v>
      </c>
      <c r="F53" s="8">
        <v>587</v>
      </c>
      <c r="G53" s="8">
        <v>3095</v>
      </c>
      <c r="H53" s="8">
        <v>704</v>
      </c>
      <c r="I53" s="8">
        <v>2419</v>
      </c>
      <c r="J53" s="8">
        <v>2597</v>
      </c>
      <c r="K53" s="8">
        <v>711</v>
      </c>
      <c r="L53" s="8">
        <v>3689</v>
      </c>
      <c r="M53" s="8">
        <v>1337</v>
      </c>
      <c r="N53" s="8">
        <v>4859</v>
      </c>
      <c r="O53" s="8">
        <v>167</v>
      </c>
      <c r="P53" s="8">
        <v>5054</v>
      </c>
      <c r="Q53" s="8">
        <v>1309</v>
      </c>
      <c r="R53" s="8">
        <v>1069</v>
      </c>
      <c r="S53" s="8">
        <v>47</v>
      </c>
      <c r="T53" s="8">
        <v>840</v>
      </c>
      <c r="U53" s="8">
        <v>4807</v>
      </c>
      <c r="V53" s="8">
        <v>539</v>
      </c>
      <c r="W53" s="8">
        <v>6</v>
      </c>
      <c r="X53" s="8">
        <v>23</v>
      </c>
      <c r="Y53" s="8">
        <v>311</v>
      </c>
      <c r="Z53" s="8">
        <v>15005</v>
      </c>
      <c r="AA53" s="8">
        <v>7606</v>
      </c>
      <c r="AB53" s="8">
        <v>5977</v>
      </c>
      <c r="AC53" s="8">
        <v>59</v>
      </c>
      <c r="AD53" s="8">
        <v>36</v>
      </c>
      <c r="AE53" s="8">
        <v>21</v>
      </c>
      <c r="AF53" s="8">
        <v>8</v>
      </c>
      <c r="AG53" s="8">
        <v>130</v>
      </c>
      <c r="AH53" s="8">
        <v>4</v>
      </c>
      <c r="AI53" s="8">
        <v>1</v>
      </c>
      <c r="AJ53" s="8">
        <v>3</v>
      </c>
      <c r="AK53" s="8">
        <v>4</v>
      </c>
      <c r="AL53" s="8">
        <v>1</v>
      </c>
      <c r="AM53" s="8">
        <v>5</v>
      </c>
      <c r="AN53" s="8">
        <v>12</v>
      </c>
      <c r="AO53" s="8">
        <v>16</v>
      </c>
      <c r="AP53" s="8">
        <v>20</v>
      </c>
      <c r="AQ53" s="8">
        <v>15</v>
      </c>
      <c r="AR53" s="8">
        <v>24</v>
      </c>
      <c r="AS53" s="8">
        <v>40</v>
      </c>
      <c r="AT53" s="8">
        <v>18</v>
      </c>
      <c r="AU53" s="8">
        <v>568</v>
      </c>
      <c r="AV53" s="8">
        <v>133</v>
      </c>
      <c r="AW53" s="8">
        <v>17</v>
      </c>
      <c r="AX53" s="8">
        <v>14</v>
      </c>
      <c r="AY53" s="8">
        <v>10</v>
      </c>
      <c r="AZ53" s="8">
        <v>3</v>
      </c>
      <c r="BA53" s="8">
        <v>2</v>
      </c>
      <c r="BB53" s="8">
        <v>8</v>
      </c>
      <c r="BC53" s="8">
        <v>1</v>
      </c>
      <c r="BD53" s="8">
        <v>82</v>
      </c>
      <c r="BE53" s="8">
        <v>4</v>
      </c>
      <c r="BF53" s="8">
        <f t="shared" si="1"/>
        <v>5026</v>
      </c>
      <c r="BG53" s="8">
        <f t="shared" si="2"/>
        <v>199</v>
      </c>
      <c r="BH53" s="8">
        <f t="shared" si="3"/>
        <v>13</v>
      </c>
      <c r="BI53" s="8">
        <f t="shared" si="4"/>
        <v>1</v>
      </c>
      <c r="BJ53" s="8">
        <f>SUM(AD53:AN53)</f>
        <v>225</v>
      </c>
      <c r="BK53" s="8">
        <v>540</v>
      </c>
      <c r="BL53" s="8">
        <v>272</v>
      </c>
      <c r="BM53" s="8">
        <v>7297</v>
      </c>
      <c r="BN53" s="8">
        <v>1776</v>
      </c>
      <c r="BO53" s="8">
        <v>252</v>
      </c>
      <c r="BP53" s="8">
        <v>335</v>
      </c>
      <c r="BQ53" s="8">
        <f>SUM(BS53:BW53)</f>
        <v>538</v>
      </c>
      <c r="BR53" s="8">
        <f t="shared" si="5"/>
        <v>286</v>
      </c>
      <c r="BS53">
        <v>256</v>
      </c>
      <c r="BT53">
        <v>27</v>
      </c>
      <c r="BU53">
        <v>175</v>
      </c>
      <c r="BV53">
        <v>13</v>
      </c>
      <c r="BW53">
        <v>67</v>
      </c>
    </row>
    <row r="54" spans="1:75" x14ac:dyDescent="0.25">
      <c r="A54" s="2">
        <v>44317</v>
      </c>
      <c r="B54" s="3" t="s">
        <v>80</v>
      </c>
      <c r="C54">
        <v>2</v>
      </c>
      <c r="D54" s="9" t="s">
        <v>91</v>
      </c>
      <c r="E54">
        <v>921</v>
      </c>
      <c r="F54">
        <v>819</v>
      </c>
      <c r="G54">
        <v>3839</v>
      </c>
      <c r="H54">
        <v>865</v>
      </c>
      <c r="I54">
        <v>3158</v>
      </c>
      <c r="J54">
        <v>3286</v>
      </c>
      <c r="K54">
        <v>766</v>
      </c>
      <c r="L54">
        <v>4918</v>
      </c>
      <c r="M54">
        <v>1526</v>
      </c>
      <c r="N54">
        <v>6234</v>
      </c>
      <c r="O54">
        <v>210</v>
      </c>
      <c r="P54">
        <v>6202</v>
      </c>
      <c r="Q54">
        <v>2326</v>
      </c>
      <c r="R54">
        <v>1423</v>
      </c>
      <c r="S54">
        <v>88</v>
      </c>
      <c r="T54">
        <v>1604</v>
      </c>
      <c r="U54">
        <v>6496</v>
      </c>
      <c r="V54">
        <v>923</v>
      </c>
      <c r="W54">
        <v>9</v>
      </c>
      <c r="X54">
        <v>17</v>
      </c>
      <c r="Y54">
        <v>21</v>
      </c>
      <c r="Z54">
        <v>18499</v>
      </c>
      <c r="AA54">
        <v>9590</v>
      </c>
      <c r="AB54">
        <v>6936</v>
      </c>
      <c r="AC54">
        <v>78</v>
      </c>
      <c r="AD54">
        <v>37</v>
      </c>
      <c r="AE54">
        <v>14</v>
      </c>
      <c r="AF54">
        <v>2</v>
      </c>
      <c r="AG54">
        <v>174</v>
      </c>
      <c r="AH54">
        <v>10</v>
      </c>
      <c r="AI54">
        <v>0</v>
      </c>
      <c r="AJ54">
        <v>9</v>
      </c>
      <c r="AK54">
        <v>3</v>
      </c>
      <c r="AL54">
        <v>0</v>
      </c>
      <c r="AM54">
        <v>13</v>
      </c>
      <c r="AN54">
        <v>22</v>
      </c>
      <c r="AO54">
        <v>37</v>
      </c>
      <c r="AP54">
        <v>13</v>
      </c>
      <c r="AQ54">
        <v>8</v>
      </c>
      <c r="AR54">
        <v>31</v>
      </c>
      <c r="AS54">
        <v>46</v>
      </c>
      <c r="AT54">
        <v>36</v>
      </c>
      <c r="AU54">
        <v>639</v>
      </c>
      <c r="AV54">
        <v>203</v>
      </c>
      <c r="AW54">
        <v>21</v>
      </c>
      <c r="AX54">
        <v>13</v>
      </c>
      <c r="AY54">
        <v>13</v>
      </c>
      <c r="AZ54">
        <v>4</v>
      </c>
      <c r="BA54">
        <v>6</v>
      </c>
      <c r="BB54">
        <v>4</v>
      </c>
      <c r="BC54">
        <v>2</v>
      </c>
      <c r="BD54">
        <v>73</v>
      </c>
      <c r="BE54">
        <v>1</v>
      </c>
      <c r="BF54" s="8">
        <f t="shared" si="1"/>
        <v>6444</v>
      </c>
      <c r="BG54" s="8">
        <f t="shared" si="2"/>
        <v>237</v>
      </c>
      <c r="BH54" s="8">
        <f t="shared" si="3"/>
        <v>25</v>
      </c>
      <c r="BI54" s="8">
        <f t="shared" si="4"/>
        <v>0</v>
      </c>
      <c r="BJ54" s="8">
        <f t="shared" ref="BJ54:BJ87" si="6">SUM(AD54:AN54)</f>
        <v>284</v>
      </c>
      <c r="BK54" s="8">
        <v>772</v>
      </c>
      <c r="BL54" s="8">
        <v>361</v>
      </c>
      <c r="BM54" s="8">
        <v>7600</v>
      </c>
      <c r="BN54" s="8">
        <v>2376</v>
      </c>
      <c r="BO54" s="8">
        <v>277</v>
      </c>
      <c r="BP54" s="8">
        <v>402</v>
      </c>
      <c r="BQ54" s="8">
        <f t="shared" ref="BQ54:BQ60" si="7">SUM(BS54:BW54)</f>
        <v>473</v>
      </c>
      <c r="BR54" s="8">
        <f t="shared" si="5"/>
        <v>376</v>
      </c>
      <c r="BS54">
        <v>225</v>
      </c>
      <c r="BT54">
        <v>24</v>
      </c>
      <c r="BU54">
        <v>154</v>
      </c>
      <c r="BV54">
        <v>11</v>
      </c>
      <c r="BW54">
        <v>59</v>
      </c>
    </row>
    <row r="55" spans="1:75" x14ac:dyDescent="0.25">
      <c r="A55" s="2">
        <v>44348</v>
      </c>
      <c r="B55" s="3" t="s">
        <v>81</v>
      </c>
      <c r="C55">
        <v>2</v>
      </c>
      <c r="D55" s="9" t="s">
        <v>91</v>
      </c>
      <c r="E55">
        <v>949</v>
      </c>
      <c r="F55">
        <v>786</v>
      </c>
      <c r="G55">
        <v>3908</v>
      </c>
      <c r="H55">
        <v>780</v>
      </c>
      <c r="I55">
        <v>3319</v>
      </c>
      <c r="J55">
        <v>3104</v>
      </c>
      <c r="K55">
        <v>601</v>
      </c>
      <c r="L55">
        <v>4983</v>
      </c>
      <c r="M55">
        <v>1440</v>
      </c>
      <c r="N55">
        <v>5956</v>
      </c>
      <c r="O55">
        <v>467</v>
      </c>
      <c r="P55">
        <v>4623</v>
      </c>
      <c r="Q55">
        <v>1063</v>
      </c>
      <c r="R55">
        <v>1141</v>
      </c>
      <c r="S55">
        <v>13</v>
      </c>
      <c r="T55">
        <v>656</v>
      </c>
      <c r="U55">
        <v>4388</v>
      </c>
      <c r="V55">
        <v>988</v>
      </c>
      <c r="W55">
        <v>4</v>
      </c>
      <c r="X55">
        <v>0</v>
      </c>
      <c r="Y55">
        <v>11</v>
      </c>
      <c r="Z55">
        <v>16342</v>
      </c>
      <c r="AA55">
        <v>9727</v>
      </c>
      <c r="AB55">
        <v>3531</v>
      </c>
      <c r="AC55">
        <v>71</v>
      </c>
      <c r="AD55">
        <v>24</v>
      </c>
      <c r="AE55">
        <v>15</v>
      </c>
      <c r="AF55">
        <v>1</v>
      </c>
      <c r="AG55">
        <v>140</v>
      </c>
      <c r="AH55">
        <v>20</v>
      </c>
      <c r="AI55">
        <v>0</v>
      </c>
      <c r="AJ55">
        <v>4</v>
      </c>
      <c r="AK55">
        <v>1</v>
      </c>
      <c r="AL55">
        <v>0</v>
      </c>
      <c r="AM55">
        <v>8</v>
      </c>
      <c r="AN55">
        <v>17</v>
      </c>
      <c r="AO55">
        <v>35</v>
      </c>
      <c r="AP55">
        <v>3</v>
      </c>
      <c r="AQ55">
        <v>1</v>
      </c>
      <c r="AR55">
        <v>31</v>
      </c>
      <c r="AS55">
        <v>32</v>
      </c>
      <c r="AT55">
        <v>12</v>
      </c>
      <c r="AU55">
        <v>539</v>
      </c>
      <c r="AV55">
        <v>156</v>
      </c>
      <c r="AW55">
        <v>14</v>
      </c>
      <c r="AX55">
        <v>16</v>
      </c>
      <c r="AY55">
        <v>20</v>
      </c>
      <c r="AZ55">
        <v>3</v>
      </c>
      <c r="BA55">
        <v>1</v>
      </c>
      <c r="BB55">
        <v>12</v>
      </c>
      <c r="BC55">
        <v>6</v>
      </c>
      <c r="BD55">
        <v>48</v>
      </c>
      <c r="BE55">
        <v>0</v>
      </c>
      <c r="BF55" s="8">
        <f t="shared" si="1"/>
        <v>6423</v>
      </c>
      <c r="BG55" s="8">
        <f t="shared" si="2"/>
        <v>200</v>
      </c>
      <c r="BH55" s="8">
        <f t="shared" si="3"/>
        <v>13</v>
      </c>
      <c r="BI55" s="8">
        <f t="shared" si="4"/>
        <v>0</v>
      </c>
      <c r="BJ55" s="8">
        <f t="shared" si="6"/>
        <v>230</v>
      </c>
      <c r="BK55" s="8">
        <v>780</v>
      </c>
      <c r="BL55" s="8">
        <v>315</v>
      </c>
      <c r="BM55" s="8">
        <v>8004</v>
      </c>
      <c r="BN55" s="8">
        <v>2296</v>
      </c>
      <c r="BO55" s="8">
        <v>373</v>
      </c>
      <c r="BP55" s="8">
        <v>402</v>
      </c>
      <c r="BQ55" s="8">
        <f t="shared" si="7"/>
        <v>519</v>
      </c>
      <c r="BR55" s="8">
        <f t="shared" si="5"/>
        <v>311</v>
      </c>
      <c r="BS55">
        <v>245</v>
      </c>
      <c r="BT55">
        <v>0</v>
      </c>
      <c r="BU55">
        <v>190</v>
      </c>
      <c r="BV55">
        <v>5</v>
      </c>
      <c r="BW55">
        <v>79</v>
      </c>
    </row>
    <row r="56" spans="1:75" x14ac:dyDescent="0.25">
      <c r="A56" s="2">
        <v>44378</v>
      </c>
      <c r="B56" s="3" t="s">
        <v>82</v>
      </c>
      <c r="C56">
        <v>2</v>
      </c>
      <c r="D56" s="9" t="s">
        <v>91</v>
      </c>
      <c r="E56">
        <v>1062</v>
      </c>
      <c r="F56">
        <v>789</v>
      </c>
      <c r="G56">
        <v>3888</v>
      </c>
      <c r="H56">
        <v>831</v>
      </c>
      <c r="I56">
        <v>3224</v>
      </c>
      <c r="J56">
        <v>3346</v>
      </c>
      <c r="K56">
        <v>638</v>
      </c>
      <c r="L56">
        <v>4925</v>
      </c>
      <c r="M56">
        <v>1645</v>
      </c>
      <c r="N56">
        <v>5671</v>
      </c>
      <c r="O56">
        <v>899</v>
      </c>
      <c r="P56">
        <v>5449</v>
      </c>
      <c r="Q56">
        <v>1304</v>
      </c>
      <c r="R56">
        <v>910</v>
      </c>
      <c r="S56">
        <v>45</v>
      </c>
      <c r="T56">
        <v>950</v>
      </c>
      <c r="U56">
        <v>5184</v>
      </c>
      <c r="V56">
        <v>1050</v>
      </c>
      <c r="W56">
        <v>2</v>
      </c>
      <c r="X56">
        <v>16</v>
      </c>
      <c r="Y56">
        <v>12</v>
      </c>
      <c r="Z56">
        <v>17316</v>
      </c>
      <c r="AA56">
        <v>10863</v>
      </c>
      <c r="AB56">
        <v>2746</v>
      </c>
      <c r="AC56">
        <v>86</v>
      </c>
      <c r="AD56">
        <v>21</v>
      </c>
      <c r="AE56">
        <v>11</v>
      </c>
      <c r="AF56">
        <v>5</v>
      </c>
      <c r="AG56">
        <v>98</v>
      </c>
      <c r="AH56">
        <v>29</v>
      </c>
      <c r="AI56">
        <v>0</v>
      </c>
      <c r="AJ56">
        <v>2</v>
      </c>
      <c r="AK56">
        <v>3</v>
      </c>
      <c r="AL56">
        <v>1</v>
      </c>
      <c r="AM56">
        <v>0</v>
      </c>
      <c r="AN56">
        <v>11</v>
      </c>
      <c r="AO56">
        <v>18</v>
      </c>
      <c r="AP56">
        <v>9</v>
      </c>
      <c r="AQ56">
        <v>5</v>
      </c>
      <c r="AR56">
        <v>28</v>
      </c>
      <c r="AS56">
        <v>11</v>
      </c>
      <c r="AT56">
        <v>16</v>
      </c>
      <c r="AU56">
        <f>BJ56+BS57+BR57</f>
        <v>863</v>
      </c>
      <c r="AV56">
        <v>78</v>
      </c>
      <c r="AW56">
        <v>7</v>
      </c>
      <c r="AX56">
        <v>7</v>
      </c>
      <c r="AY56">
        <v>11</v>
      </c>
      <c r="AZ56">
        <v>1</v>
      </c>
      <c r="BA56">
        <v>3</v>
      </c>
      <c r="BB56">
        <v>8</v>
      </c>
      <c r="BC56">
        <v>2</v>
      </c>
      <c r="BD56">
        <v>9</v>
      </c>
      <c r="BE56">
        <v>0</v>
      </c>
      <c r="BF56" s="8">
        <f t="shared" si="1"/>
        <v>6570</v>
      </c>
      <c r="BG56" s="8">
        <f t="shared" si="2"/>
        <v>164</v>
      </c>
      <c r="BH56" s="8">
        <f t="shared" si="3"/>
        <v>6</v>
      </c>
      <c r="BI56" s="8">
        <f t="shared" si="4"/>
        <v>0</v>
      </c>
      <c r="BJ56" s="8">
        <f t="shared" si="6"/>
        <v>181</v>
      </c>
      <c r="BK56" s="8">
        <v>784</v>
      </c>
      <c r="BL56" s="8">
        <v>389</v>
      </c>
      <c r="BM56" s="8">
        <v>7195</v>
      </c>
      <c r="BN56" s="8">
        <v>2349</v>
      </c>
      <c r="BO56" s="8">
        <v>414</v>
      </c>
      <c r="BP56" s="8">
        <v>368</v>
      </c>
      <c r="BQ56" s="8">
        <f t="shared" si="7"/>
        <v>649</v>
      </c>
      <c r="BR56" s="8">
        <f t="shared" si="5"/>
        <v>144</v>
      </c>
      <c r="BS56">
        <v>333</v>
      </c>
      <c r="BT56">
        <v>37</v>
      </c>
      <c r="BU56">
        <v>195</v>
      </c>
      <c r="BV56">
        <v>23</v>
      </c>
      <c r="BW56">
        <v>61</v>
      </c>
    </row>
    <row r="57" spans="1:75" x14ac:dyDescent="0.25">
      <c r="A57" s="2">
        <v>44409</v>
      </c>
      <c r="B57" s="3" t="s">
        <v>83</v>
      </c>
      <c r="C57">
        <v>2</v>
      </c>
      <c r="D57" s="9" t="s">
        <v>91</v>
      </c>
      <c r="E57">
        <v>1160</v>
      </c>
      <c r="F57">
        <v>1029</v>
      </c>
      <c r="G57">
        <v>4161</v>
      </c>
      <c r="H57">
        <v>898</v>
      </c>
      <c r="I57">
        <v>3582</v>
      </c>
      <c r="J57">
        <v>3666</v>
      </c>
      <c r="K57">
        <v>1161</v>
      </c>
      <c r="L57">
        <v>5566</v>
      </c>
      <c r="M57">
        <v>1682</v>
      </c>
      <c r="N57">
        <v>7127</v>
      </c>
      <c r="O57">
        <v>121</v>
      </c>
      <c r="P57">
        <v>7304</v>
      </c>
      <c r="Q57">
        <v>3553</v>
      </c>
      <c r="R57">
        <v>2086</v>
      </c>
      <c r="S57">
        <v>13</v>
      </c>
      <c r="T57">
        <v>1374</v>
      </c>
      <c r="U57">
        <v>7408</v>
      </c>
      <c r="V57">
        <v>1089</v>
      </c>
      <c r="W57">
        <v>3</v>
      </c>
      <c r="X57">
        <v>9</v>
      </c>
      <c r="Y57">
        <v>15</v>
      </c>
      <c r="Z57">
        <v>17069</v>
      </c>
      <c r="AA57">
        <v>11734</v>
      </c>
      <c r="AB57">
        <v>8204</v>
      </c>
      <c r="AC57">
        <v>111</v>
      </c>
      <c r="AD57">
        <v>35</v>
      </c>
      <c r="AE57">
        <v>16</v>
      </c>
      <c r="AF57">
        <v>3</v>
      </c>
      <c r="AG57">
        <v>150</v>
      </c>
      <c r="AH57">
        <v>8</v>
      </c>
      <c r="AI57">
        <v>0</v>
      </c>
      <c r="AJ57">
        <v>3</v>
      </c>
      <c r="AK57">
        <v>7</v>
      </c>
      <c r="AL57">
        <v>0</v>
      </c>
      <c r="AM57">
        <v>5</v>
      </c>
      <c r="AN57">
        <v>22</v>
      </c>
      <c r="AO57">
        <v>22</v>
      </c>
      <c r="AP57">
        <v>9</v>
      </c>
      <c r="AQ57">
        <v>6</v>
      </c>
      <c r="AR57">
        <v>24</v>
      </c>
      <c r="AS57">
        <v>27</v>
      </c>
      <c r="AT57">
        <v>15</v>
      </c>
      <c r="AU57">
        <f t="shared" ref="AU57:AU73" si="8">BJ57+BS58+BR58</f>
        <v>653</v>
      </c>
      <c r="AV57">
        <v>140</v>
      </c>
      <c r="AW57">
        <v>13</v>
      </c>
      <c r="AX57">
        <v>11</v>
      </c>
      <c r="AY57">
        <v>7</v>
      </c>
      <c r="AZ57">
        <v>4</v>
      </c>
      <c r="BA57">
        <v>14</v>
      </c>
      <c r="BB57">
        <v>18</v>
      </c>
      <c r="BC57">
        <v>1</v>
      </c>
      <c r="BD57">
        <v>25</v>
      </c>
      <c r="BE57">
        <v>1</v>
      </c>
      <c r="BF57" s="8">
        <f t="shared" si="1"/>
        <v>7248</v>
      </c>
      <c r="BG57" s="8">
        <f t="shared" si="2"/>
        <v>212</v>
      </c>
      <c r="BH57" s="8">
        <f t="shared" si="3"/>
        <v>15</v>
      </c>
      <c r="BI57" s="8">
        <f t="shared" si="4"/>
        <v>0</v>
      </c>
      <c r="BJ57" s="8">
        <f t="shared" si="6"/>
        <v>249</v>
      </c>
      <c r="BK57" s="8">
        <v>571</v>
      </c>
      <c r="BL57" s="8">
        <v>326</v>
      </c>
      <c r="BM57" s="8">
        <v>7340</v>
      </c>
      <c r="BN57" s="8">
        <v>2563</v>
      </c>
      <c r="BO57" s="8">
        <v>404</v>
      </c>
      <c r="BP57" s="8">
        <v>387</v>
      </c>
      <c r="BQ57" s="8">
        <f t="shared" si="7"/>
        <v>863</v>
      </c>
      <c r="BR57" s="8">
        <f t="shared" si="5"/>
        <v>255</v>
      </c>
      <c r="BS57" s="8">
        <v>427</v>
      </c>
      <c r="BT57" s="8">
        <v>85</v>
      </c>
      <c r="BU57" s="8">
        <v>230</v>
      </c>
      <c r="BV57" s="8">
        <v>40</v>
      </c>
      <c r="BW57" s="8">
        <v>81</v>
      </c>
    </row>
    <row r="58" spans="1:75" x14ac:dyDescent="0.25">
      <c r="A58" s="2">
        <v>44440</v>
      </c>
      <c r="B58" s="3" t="s">
        <v>84</v>
      </c>
      <c r="C58">
        <v>3</v>
      </c>
      <c r="D58" s="9" t="s">
        <v>91</v>
      </c>
      <c r="E58">
        <v>1122</v>
      </c>
      <c r="F58">
        <v>773</v>
      </c>
      <c r="G58">
        <v>3659</v>
      </c>
      <c r="H58">
        <v>793</v>
      </c>
      <c r="I58">
        <v>3265</v>
      </c>
      <c r="J58">
        <v>3082</v>
      </c>
      <c r="K58">
        <v>483</v>
      </c>
      <c r="L58">
        <v>5050</v>
      </c>
      <c r="M58">
        <v>1297</v>
      </c>
      <c r="N58">
        <v>6119</v>
      </c>
      <c r="O58">
        <v>228</v>
      </c>
      <c r="P58">
        <v>5558</v>
      </c>
      <c r="Q58">
        <v>735</v>
      </c>
      <c r="R58">
        <v>14</v>
      </c>
      <c r="S58">
        <v>2</v>
      </c>
      <c r="T58">
        <v>223</v>
      </c>
      <c r="U58">
        <v>5844</v>
      </c>
      <c r="V58">
        <v>941</v>
      </c>
      <c r="W58">
        <v>3</v>
      </c>
      <c r="X58">
        <v>0</v>
      </c>
      <c r="Y58">
        <v>19</v>
      </c>
      <c r="Z58">
        <v>9888</v>
      </c>
      <c r="AA58">
        <v>8568</v>
      </c>
      <c r="AB58">
        <v>8407</v>
      </c>
      <c r="AC58">
        <v>36</v>
      </c>
      <c r="AD58">
        <v>19</v>
      </c>
      <c r="AE58">
        <v>13</v>
      </c>
      <c r="AF58">
        <v>0</v>
      </c>
      <c r="AG58">
        <v>112</v>
      </c>
      <c r="AH58">
        <v>10</v>
      </c>
      <c r="AI58">
        <v>4</v>
      </c>
      <c r="AJ58">
        <v>0</v>
      </c>
      <c r="AK58">
        <v>5</v>
      </c>
      <c r="AL58">
        <v>1</v>
      </c>
      <c r="AM58">
        <v>12</v>
      </c>
      <c r="AN58">
        <v>16</v>
      </c>
      <c r="AO58">
        <v>37</v>
      </c>
      <c r="AP58">
        <v>5</v>
      </c>
      <c r="AQ58">
        <v>5</v>
      </c>
      <c r="AR58">
        <v>19</v>
      </c>
      <c r="AS58">
        <v>20</v>
      </c>
      <c r="AT58">
        <v>25</v>
      </c>
      <c r="AU58">
        <f t="shared" si="8"/>
        <v>564</v>
      </c>
      <c r="AV58">
        <v>113</v>
      </c>
      <c r="AW58">
        <v>10</v>
      </c>
      <c r="AX58">
        <v>10</v>
      </c>
      <c r="AY58">
        <v>8</v>
      </c>
      <c r="AZ58">
        <v>1</v>
      </c>
      <c r="BA58">
        <v>2</v>
      </c>
      <c r="BB58">
        <v>8</v>
      </c>
      <c r="BC58">
        <v>0</v>
      </c>
      <c r="BD58">
        <v>16</v>
      </c>
      <c r="BE58">
        <v>4</v>
      </c>
      <c r="BF58" s="8">
        <f t="shared" si="1"/>
        <v>6347</v>
      </c>
      <c r="BG58" s="8">
        <f t="shared" si="2"/>
        <v>154</v>
      </c>
      <c r="BH58" s="8">
        <f t="shared" si="3"/>
        <v>18</v>
      </c>
      <c r="BI58" s="8">
        <f t="shared" si="4"/>
        <v>4</v>
      </c>
      <c r="BJ58" s="8">
        <f t="shared" si="6"/>
        <v>192</v>
      </c>
      <c r="BK58" s="8">
        <v>598</v>
      </c>
      <c r="BL58" s="8">
        <v>291</v>
      </c>
      <c r="BM58" s="8">
        <v>7079</v>
      </c>
      <c r="BN58" s="8">
        <v>2728</v>
      </c>
      <c r="BO58" s="8">
        <v>356</v>
      </c>
      <c r="BP58" s="8">
        <v>350</v>
      </c>
      <c r="BQ58" s="8">
        <f t="shared" si="7"/>
        <v>329</v>
      </c>
      <c r="BR58" s="8">
        <f t="shared" si="5"/>
        <v>205</v>
      </c>
      <c r="BS58">
        <v>199</v>
      </c>
      <c r="BT58">
        <v>10</v>
      </c>
      <c r="BU58">
        <v>72</v>
      </c>
      <c r="BV58">
        <v>6</v>
      </c>
      <c r="BW58">
        <v>42</v>
      </c>
    </row>
    <row r="59" spans="1:75" x14ac:dyDescent="0.25">
      <c r="A59" s="2">
        <v>44470</v>
      </c>
      <c r="B59" s="3" t="s">
        <v>85</v>
      </c>
      <c r="C59">
        <v>3</v>
      </c>
      <c r="D59" s="9" t="s">
        <v>91</v>
      </c>
      <c r="E59">
        <v>964</v>
      </c>
      <c r="F59">
        <v>792</v>
      </c>
      <c r="G59">
        <v>3848</v>
      </c>
      <c r="H59">
        <v>796</v>
      </c>
      <c r="I59">
        <v>3283</v>
      </c>
      <c r="J59">
        <v>3117</v>
      </c>
      <c r="K59">
        <v>1151</v>
      </c>
      <c r="L59">
        <v>4961</v>
      </c>
      <c r="M59">
        <v>1439</v>
      </c>
      <c r="N59">
        <v>6276</v>
      </c>
      <c r="O59">
        <v>124</v>
      </c>
      <c r="P59">
        <v>5889</v>
      </c>
      <c r="Q59">
        <v>915</v>
      </c>
      <c r="R59">
        <v>310</v>
      </c>
      <c r="S59">
        <v>0</v>
      </c>
      <c r="T59">
        <v>205</v>
      </c>
      <c r="U59">
        <v>6048</v>
      </c>
      <c r="V59">
        <v>891</v>
      </c>
      <c r="W59">
        <v>8</v>
      </c>
      <c r="X59">
        <v>1</v>
      </c>
      <c r="Y59">
        <v>18</v>
      </c>
      <c r="Z59">
        <v>12068</v>
      </c>
      <c r="AA59">
        <v>11471</v>
      </c>
      <c r="AB59">
        <v>11279</v>
      </c>
      <c r="AC59">
        <v>13</v>
      </c>
      <c r="AD59">
        <v>37</v>
      </c>
      <c r="AE59">
        <v>16</v>
      </c>
      <c r="AF59">
        <v>2</v>
      </c>
      <c r="AG59">
        <v>157</v>
      </c>
      <c r="AH59">
        <v>11</v>
      </c>
      <c r="AI59">
        <v>1</v>
      </c>
      <c r="AJ59">
        <v>0</v>
      </c>
      <c r="AK59">
        <v>4</v>
      </c>
      <c r="AL59">
        <v>0</v>
      </c>
      <c r="AM59">
        <v>11</v>
      </c>
      <c r="AN59">
        <v>9</v>
      </c>
      <c r="AO59">
        <v>26</v>
      </c>
      <c r="AP59">
        <v>13</v>
      </c>
      <c r="AQ59">
        <v>8</v>
      </c>
      <c r="AR59">
        <v>39</v>
      </c>
      <c r="AS59">
        <v>14</v>
      </c>
      <c r="AT59">
        <v>21</v>
      </c>
      <c r="AU59">
        <f t="shared" si="8"/>
        <v>572</v>
      </c>
      <c r="AV59">
        <v>111</v>
      </c>
      <c r="AW59">
        <v>8</v>
      </c>
      <c r="AX59">
        <v>12</v>
      </c>
      <c r="AY59">
        <v>12</v>
      </c>
      <c r="AZ59">
        <v>2</v>
      </c>
      <c r="BA59">
        <v>5</v>
      </c>
      <c r="BB59">
        <v>11</v>
      </c>
      <c r="BC59">
        <v>1</v>
      </c>
      <c r="BD59">
        <v>17</v>
      </c>
      <c r="BE59">
        <v>3</v>
      </c>
      <c r="BF59" s="8">
        <f t="shared" si="1"/>
        <v>6400</v>
      </c>
      <c r="BG59" s="8">
        <f t="shared" si="2"/>
        <v>223</v>
      </c>
      <c r="BH59" s="8">
        <f t="shared" si="3"/>
        <v>15</v>
      </c>
      <c r="BI59" s="8">
        <f t="shared" si="4"/>
        <v>1</v>
      </c>
      <c r="BJ59" s="8">
        <f t="shared" si="6"/>
        <v>248</v>
      </c>
      <c r="BK59" s="8">
        <v>644</v>
      </c>
      <c r="BL59" s="8">
        <v>280</v>
      </c>
      <c r="BM59" s="8">
        <v>7974</v>
      </c>
      <c r="BN59" s="8">
        <v>2610</v>
      </c>
      <c r="BO59" s="8">
        <v>386</v>
      </c>
      <c r="BP59" s="8">
        <v>302</v>
      </c>
      <c r="BQ59" s="8">
        <f t="shared" si="7"/>
        <v>348</v>
      </c>
      <c r="BR59" s="8">
        <f t="shared" si="5"/>
        <v>205</v>
      </c>
      <c r="BS59">
        <v>167</v>
      </c>
      <c r="BT59">
        <v>32</v>
      </c>
      <c r="BU59">
        <v>92</v>
      </c>
      <c r="BV59">
        <v>22</v>
      </c>
      <c r="BW59">
        <v>35</v>
      </c>
    </row>
    <row r="60" spans="1:75" x14ac:dyDescent="0.25">
      <c r="A60" s="2">
        <v>44501</v>
      </c>
      <c r="B60" s="3" t="s">
        <v>86</v>
      </c>
      <c r="C60">
        <v>3</v>
      </c>
      <c r="D60" s="9" t="s">
        <v>91</v>
      </c>
      <c r="E60">
        <v>911</v>
      </c>
      <c r="F60">
        <v>805</v>
      </c>
      <c r="G60">
        <v>3756</v>
      </c>
      <c r="H60">
        <v>739</v>
      </c>
      <c r="I60">
        <v>3072</v>
      </c>
      <c r="J60">
        <v>3139</v>
      </c>
      <c r="K60">
        <v>1197</v>
      </c>
      <c r="L60">
        <v>4799</v>
      </c>
      <c r="M60">
        <v>1412</v>
      </c>
      <c r="N60">
        <v>6084</v>
      </c>
      <c r="O60">
        <v>127</v>
      </c>
      <c r="P60">
        <v>5752</v>
      </c>
      <c r="Q60">
        <v>1229</v>
      </c>
      <c r="R60">
        <v>521</v>
      </c>
      <c r="S60">
        <v>1</v>
      </c>
      <c r="T60">
        <v>335</v>
      </c>
      <c r="U60">
        <v>5922</v>
      </c>
      <c r="V60">
        <v>781</v>
      </c>
      <c r="W60">
        <v>5</v>
      </c>
      <c r="X60">
        <v>4</v>
      </c>
      <c r="Y60">
        <v>22</v>
      </c>
      <c r="Z60">
        <v>12163</v>
      </c>
      <c r="AA60">
        <v>11657</v>
      </c>
      <c r="AB60">
        <v>11331</v>
      </c>
      <c r="AC60">
        <v>10</v>
      </c>
      <c r="AD60">
        <v>35</v>
      </c>
      <c r="AE60">
        <v>22</v>
      </c>
      <c r="AF60">
        <v>0</v>
      </c>
      <c r="AG60">
        <v>144</v>
      </c>
      <c r="AH60">
        <v>8</v>
      </c>
      <c r="AI60">
        <v>0</v>
      </c>
      <c r="AJ60">
        <v>1</v>
      </c>
      <c r="AK60">
        <v>14</v>
      </c>
      <c r="AL60">
        <v>1</v>
      </c>
      <c r="AM60">
        <v>8</v>
      </c>
      <c r="AN60">
        <v>11</v>
      </c>
      <c r="AO60">
        <v>33</v>
      </c>
      <c r="AP60">
        <v>6</v>
      </c>
      <c r="AQ60">
        <v>6</v>
      </c>
      <c r="AR60">
        <v>35</v>
      </c>
      <c r="AS60">
        <v>24</v>
      </c>
      <c r="AT60">
        <v>16</v>
      </c>
      <c r="AU60">
        <f t="shared" si="8"/>
        <v>554</v>
      </c>
      <c r="AV60">
        <v>123</v>
      </c>
      <c r="AW60">
        <v>9</v>
      </c>
      <c r="AX60">
        <v>8</v>
      </c>
      <c r="AY60">
        <v>7</v>
      </c>
      <c r="AZ60">
        <v>3</v>
      </c>
      <c r="BA60">
        <v>3</v>
      </c>
      <c r="BB60">
        <v>7</v>
      </c>
      <c r="BC60">
        <v>0</v>
      </c>
      <c r="BD60">
        <v>9</v>
      </c>
      <c r="BE60">
        <v>4</v>
      </c>
      <c r="BF60" s="8">
        <f t="shared" si="1"/>
        <v>6211</v>
      </c>
      <c r="BG60" s="8">
        <f t="shared" si="2"/>
        <v>209</v>
      </c>
      <c r="BH60" s="8">
        <f t="shared" si="3"/>
        <v>24</v>
      </c>
      <c r="BI60" s="8">
        <f t="shared" si="4"/>
        <v>0</v>
      </c>
      <c r="BJ60" s="8">
        <f t="shared" si="6"/>
        <v>244</v>
      </c>
      <c r="BK60" s="8">
        <v>525</v>
      </c>
      <c r="BL60" s="8">
        <v>238</v>
      </c>
      <c r="BM60" s="8">
        <v>7694</v>
      </c>
      <c r="BN60" s="8">
        <v>2245</v>
      </c>
      <c r="BO60" s="8">
        <v>333</v>
      </c>
      <c r="BP60" s="8">
        <v>408</v>
      </c>
      <c r="BQ60" s="8">
        <f t="shared" si="7"/>
        <v>336</v>
      </c>
      <c r="BR60" s="8">
        <f t="shared" si="5"/>
        <v>202</v>
      </c>
      <c r="BS60">
        <v>122</v>
      </c>
      <c r="BT60">
        <v>47</v>
      </c>
      <c r="BU60">
        <v>132</v>
      </c>
      <c r="BV60">
        <v>12</v>
      </c>
      <c r="BW60">
        <v>23</v>
      </c>
    </row>
    <row r="61" spans="1:75" x14ac:dyDescent="0.25">
      <c r="A61" s="2">
        <v>44531</v>
      </c>
      <c r="B61" s="3" t="s">
        <v>87</v>
      </c>
      <c r="C61">
        <v>3</v>
      </c>
      <c r="D61" s="9" t="s">
        <v>91</v>
      </c>
      <c r="E61">
        <v>1189</v>
      </c>
      <c r="F61">
        <v>1114</v>
      </c>
      <c r="G61">
        <v>4629</v>
      </c>
      <c r="H61">
        <v>768</v>
      </c>
      <c r="I61">
        <v>3761</v>
      </c>
      <c r="J61">
        <v>3939</v>
      </c>
      <c r="K61">
        <v>904</v>
      </c>
      <c r="L61">
        <v>5751</v>
      </c>
      <c r="M61">
        <v>1949</v>
      </c>
      <c r="N61">
        <v>7512</v>
      </c>
      <c r="O61">
        <v>188</v>
      </c>
      <c r="P61">
        <v>7009</v>
      </c>
      <c r="Q61">
        <v>1590</v>
      </c>
      <c r="R61">
        <v>255</v>
      </c>
      <c r="S61">
        <v>3</v>
      </c>
      <c r="T61">
        <v>209</v>
      </c>
      <c r="U61">
        <v>6952</v>
      </c>
      <c r="V61">
        <v>1059</v>
      </c>
      <c r="W61">
        <v>15</v>
      </c>
      <c r="X61">
        <v>3</v>
      </c>
      <c r="Y61">
        <v>19</v>
      </c>
      <c r="Z61">
        <v>15331</v>
      </c>
      <c r="AA61">
        <v>14274</v>
      </c>
      <c r="AB61">
        <v>13774</v>
      </c>
      <c r="AC61">
        <v>13</v>
      </c>
      <c r="AD61">
        <v>26</v>
      </c>
      <c r="AE61">
        <v>16</v>
      </c>
      <c r="AF61">
        <v>2</v>
      </c>
      <c r="AG61">
        <v>129</v>
      </c>
      <c r="AH61">
        <v>11</v>
      </c>
      <c r="AI61">
        <v>0</v>
      </c>
      <c r="AJ61">
        <v>0</v>
      </c>
      <c r="AK61">
        <v>3</v>
      </c>
      <c r="AL61">
        <v>1</v>
      </c>
      <c r="AM61">
        <v>13</v>
      </c>
      <c r="AN61">
        <v>12</v>
      </c>
      <c r="AO61">
        <v>18</v>
      </c>
      <c r="AP61">
        <v>9</v>
      </c>
      <c r="AQ61">
        <v>1</v>
      </c>
      <c r="AR61">
        <v>42</v>
      </c>
      <c r="AS61">
        <v>11</v>
      </c>
      <c r="AT61">
        <v>14</v>
      </c>
      <c r="AU61">
        <f t="shared" si="8"/>
        <v>465</v>
      </c>
      <c r="AV61">
        <v>116</v>
      </c>
      <c r="AW61">
        <v>7</v>
      </c>
      <c r="AX61">
        <v>15</v>
      </c>
      <c r="AY61">
        <v>14</v>
      </c>
      <c r="AZ61">
        <v>3</v>
      </c>
      <c r="BA61">
        <v>3</v>
      </c>
      <c r="BB61">
        <v>10</v>
      </c>
      <c r="BC61">
        <v>0</v>
      </c>
      <c r="BD61">
        <v>2</v>
      </c>
      <c r="BE61">
        <v>3</v>
      </c>
      <c r="BF61" s="8">
        <f t="shared" si="1"/>
        <v>7700</v>
      </c>
      <c r="BG61" s="8">
        <f t="shared" si="2"/>
        <v>184</v>
      </c>
      <c r="BH61" s="8">
        <f t="shared" si="3"/>
        <v>17</v>
      </c>
      <c r="BI61" s="8">
        <f t="shared" si="4"/>
        <v>0</v>
      </c>
      <c r="BJ61" s="8">
        <f t="shared" si="6"/>
        <v>213</v>
      </c>
      <c r="BK61" s="8">
        <v>252</v>
      </c>
      <c r="BL61" s="8">
        <v>220</v>
      </c>
      <c r="BM61" s="8">
        <v>7780</v>
      </c>
      <c r="BN61" s="8">
        <v>2450</v>
      </c>
      <c r="BO61" s="8">
        <v>298</v>
      </c>
      <c r="BP61" s="8">
        <v>313</v>
      </c>
      <c r="BQ61" s="8">
        <f>SUM(BS61:BW61)</f>
        <v>336</v>
      </c>
      <c r="BR61" s="8">
        <f t="shared" si="5"/>
        <v>188</v>
      </c>
      <c r="BS61">
        <v>122</v>
      </c>
      <c r="BT61">
        <v>47</v>
      </c>
      <c r="BU61">
        <v>132</v>
      </c>
      <c r="BV61">
        <v>12</v>
      </c>
      <c r="BW61">
        <v>23</v>
      </c>
    </row>
    <row r="62" spans="1:75" s="12" customFormat="1" x14ac:dyDescent="0.25">
      <c r="A62" s="10">
        <v>44562</v>
      </c>
      <c r="B62" s="11" t="s">
        <v>75</v>
      </c>
      <c r="C62" s="12">
        <v>1</v>
      </c>
      <c r="D62" s="13" t="s">
        <v>92</v>
      </c>
      <c r="E62">
        <v>902</v>
      </c>
      <c r="F62">
        <v>745</v>
      </c>
      <c r="G62">
        <v>3925</v>
      </c>
      <c r="H62">
        <v>866</v>
      </c>
      <c r="I62">
        <v>3142</v>
      </c>
      <c r="J62">
        <v>3296</v>
      </c>
      <c r="K62">
        <v>1017</v>
      </c>
      <c r="L62">
        <v>4948</v>
      </c>
      <c r="M62">
        <v>1490</v>
      </c>
      <c r="N62">
        <v>6279</v>
      </c>
      <c r="O62">
        <v>159</v>
      </c>
      <c r="P62">
        <v>5260</v>
      </c>
      <c r="Q62">
        <v>2394</v>
      </c>
      <c r="R62">
        <v>12</v>
      </c>
      <c r="S62">
        <v>0</v>
      </c>
      <c r="T62">
        <v>310</v>
      </c>
      <c r="U62">
        <v>5649</v>
      </c>
      <c r="V62">
        <v>580</v>
      </c>
      <c r="W62">
        <v>10</v>
      </c>
      <c r="X62">
        <v>2</v>
      </c>
      <c r="Y62">
        <v>15</v>
      </c>
      <c r="Z62">
        <v>11784</v>
      </c>
      <c r="AA62">
        <v>9389</v>
      </c>
      <c r="AB62">
        <v>9971</v>
      </c>
      <c r="AC62">
        <v>33</v>
      </c>
      <c r="AD62">
        <v>26</v>
      </c>
      <c r="AE62">
        <v>21</v>
      </c>
      <c r="AF62">
        <v>1</v>
      </c>
      <c r="AG62">
        <v>123</v>
      </c>
      <c r="AH62">
        <v>12</v>
      </c>
      <c r="AI62">
        <v>3</v>
      </c>
      <c r="AJ62">
        <v>0</v>
      </c>
      <c r="AK62">
        <v>3</v>
      </c>
      <c r="AL62">
        <v>0</v>
      </c>
      <c r="AM62">
        <v>11</v>
      </c>
      <c r="AN62">
        <v>12</v>
      </c>
      <c r="AO62">
        <v>9</v>
      </c>
      <c r="AP62">
        <v>4</v>
      </c>
      <c r="AQ62">
        <v>2</v>
      </c>
      <c r="AR62">
        <v>29</v>
      </c>
      <c r="AS62">
        <v>29</v>
      </c>
      <c r="AT62">
        <v>10</v>
      </c>
      <c r="AU62">
        <f t="shared" si="8"/>
        <v>554</v>
      </c>
      <c r="AV62">
        <v>114</v>
      </c>
      <c r="AW62">
        <v>9</v>
      </c>
      <c r="AX62">
        <v>11</v>
      </c>
      <c r="AY62">
        <v>3</v>
      </c>
      <c r="AZ62">
        <v>0</v>
      </c>
      <c r="BA62">
        <v>4</v>
      </c>
      <c r="BB62">
        <v>11</v>
      </c>
      <c r="BC62">
        <v>0</v>
      </c>
      <c r="BD62">
        <v>4</v>
      </c>
      <c r="BE62">
        <v>1</v>
      </c>
      <c r="BF62" s="8">
        <f t="shared" si="1"/>
        <v>6438</v>
      </c>
      <c r="BG62" s="8">
        <f t="shared" si="2"/>
        <v>183</v>
      </c>
      <c r="BH62" s="8">
        <f t="shared" si="3"/>
        <v>14</v>
      </c>
      <c r="BI62" s="8">
        <f t="shared" si="4"/>
        <v>3</v>
      </c>
      <c r="BJ62" s="8">
        <f t="shared" si="6"/>
        <v>212</v>
      </c>
      <c r="BK62" s="12">
        <v>672</v>
      </c>
      <c r="BL62" s="12">
        <v>202</v>
      </c>
      <c r="BM62">
        <v>7110</v>
      </c>
      <c r="BN62">
        <v>1992</v>
      </c>
      <c r="BO62">
        <v>197</v>
      </c>
      <c r="BP62" s="12">
        <v>318</v>
      </c>
      <c r="BQ62" s="8">
        <f t="shared" ref="BQ62:BQ121" si="9">SUM(BS62:BW62)</f>
        <v>165</v>
      </c>
      <c r="BR62" s="8">
        <f t="shared" si="5"/>
        <v>165</v>
      </c>
      <c r="BS62">
        <v>87</v>
      </c>
      <c r="BT62">
        <v>9</v>
      </c>
      <c r="BU62">
        <v>56</v>
      </c>
      <c r="BV62">
        <v>1</v>
      </c>
      <c r="BW62">
        <v>12</v>
      </c>
    </row>
    <row r="63" spans="1:75" s="12" customFormat="1" x14ac:dyDescent="0.25">
      <c r="A63" s="10">
        <v>44593</v>
      </c>
      <c r="B63" s="11" t="s">
        <v>77</v>
      </c>
      <c r="C63" s="12">
        <v>1</v>
      </c>
      <c r="D63" s="13" t="s">
        <v>92</v>
      </c>
      <c r="E63">
        <v>734</v>
      </c>
      <c r="F63">
        <v>580</v>
      </c>
      <c r="G63">
        <v>3134</v>
      </c>
      <c r="H63">
        <v>789</v>
      </c>
      <c r="I63">
        <v>2649</v>
      </c>
      <c r="J63">
        <v>2588</v>
      </c>
      <c r="K63">
        <v>1132</v>
      </c>
      <c r="L63">
        <v>4069</v>
      </c>
      <c r="M63">
        <v>1168</v>
      </c>
      <c r="N63">
        <v>4933</v>
      </c>
      <c r="O63">
        <v>304</v>
      </c>
      <c r="P63">
        <v>5427</v>
      </c>
      <c r="Q63">
        <v>3693</v>
      </c>
      <c r="R63">
        <v>893</v>
      </c>
      <c r="S63">
        <v>0</v>
      </c>
      <c r="T63">
        <v>1252</v>
      </c>
      <c r="U63">
        <v>5747</v>
      </c>
      <c r="V63">
        <v>532</v>
      </c>
      <c r="W63">
        <v>10</v>
      </c>
      <c r="X63">
        <v>19</v>
      </c>
      <c r="Y63">
        <v>21</v>
      </c>
      <c r="Z63">
        <v>11298</v>
      </c>
      <c r="AA63">
        <v>8335</v>
      </c>
      <c r="AB63">
        <v>9095</v>
      </c>
      <c r="AC63">
        <v>179</v>
      </c>
      <c r="AD63">
        <v>44</v>
      </c>
      <c r="AE63">
        <v>25</v>
      </c>
      <c r="AF63">
        <v>0</v>
      </c>
      <c r="AG63">
        <v>132</v>
      </c>
      <c r="AH63">
        <v>10</v>
      </c>
      <c r="AI63">
        <v>0</v>
      </c>
      <c r="AJ63">
        <v>4</v>
      </c>
      <c r="AK63">
        <v>1</v>
      </c>
      <c r="AL63">
        <v>1</v>
      </c>
      <c r="AM63">
        <v>18</v>
      </c>
      <c r="AN63">
        <v>21</v>
      </c>
      <c r="AO63">
        <v>21</v>
      </c>
      <c r="AP63">
        <v>24</v>
      </c>
      <c r="AQ63">
        <v>17</v>
      </c>
      <c r="AR63">
        <v>38</v>
      </c>
      <c r="AS63">
        <v>31</v>
      </c>
      <c r="AT63">
        <v>18</v>
      </c>
      <c r="AU63">
        <f t="shared" si="8"/>
        <v>629</v>
      </c>
      <c r="AV63">
        <v>126</v>
      </c>
      <c r="AW63">
        <v>28</v>
      </c>
      <c r="AX63">
        <v>13</v>
      </c>
      <c r="AY63">
        <v>14</v>
      </c>
      <c r="AZ63">
        <v>1</v>
      </c>
      <c r="BA63">
        <v>3</v>
      </c>
      <c r="BB63">
        <v>16</v>
      </c>
      <c r="BC63">
        <v>1</v>
      </c>
      <c r="BD63">
        <v>8</v>
      </c>
      <c r="BE63">
        <v>4</v>
      </c>
      <c r="BF63" s="8">
        <f t="shared" si="1"/>
        <v>5237</v>
      </c>
      <c r="BG63" s="8">
        <f t="shared" si="2"/>
        <v>211</v>
      </c>
      <c r="BH63" s="8">
        <f t="shared" si="3"/>
        <v>24</v>
      </c>
      <c r="BI63" s="8">
        <f t="shared" si="4"/>
        <v>0</v>
      </c>
      <c r="BJ63" s="8">
        <f t="shared" si="6"/>
        <v>256</v>
      </c>
      <c r="BK63" s="12">
        <v>539</v>
      </c>
      <c r="BL63" s="12">
        <v>144</v>
      </c>
      <c r="BM63">
        <v>7223</v>
      </c>
      <c r="BN63">
        <v>2416</v>
      </c>
      <c r="BO63">
        <v>261</v>
      </c>
      <c r="BP63" s="12">
        <v>449</v>
      </c>
      <c r="BQ63" s="8">
        <f t="shared" si="9"/>
        <v>205</v>
      </c>
      <c r="BR63" s="8">
        <f t="shared" si="5"/>
        <v>231</v>
      </c>
      <c r="BS63">
        <v>111</v>
      </c>
      <c r="BT63">
        <v>14</v>
      </c>
      <c r="BU63">
        <v>71</v>
      </c>
      <c r="BV63">
        <v>9</v>
      </c>
      <c r="BW63" s="12">
        <v>0</v>
      </c>
    </row>
    <row r="64" spans="1:75" s="12" customFormat="1" x14ac:dyDescent="0.25">
      <c r="A64" s="10">
        <v>44621</v>
      </c>
      <c r="B64" s="11" t="s">
        <v>78</v>
      </c>
      <c r="C64" s="12">
        <v>1</v>
      </c>
      <c r="D64" s="13" t="s">
        <v>92</v>
      </c>
      <c r="E64">
        <v>1182</v>
      </c>
      <c r="F64">
        <v>760</v>
      </c>
      <c r="G64">
        <v>3538</v>
      </c>
      <c r="H64">
        <v>863</v>
      </c>
      <c r="I64">
        <v>3114</v>
      </c>
      <c r="J64">
        <v>3229</v>
      </c>
      <c r="K64">
        <v>957</v>
      </c>
      <c r="L64">
        <v>5024</v>
      </c>
      <c r="M64">
        <v>1319</v>
      </c>
      <c r="N64">
        <v>6016</v>
      </c>
      <c r="O64">
        <v>327</v>
      </c>
      <c r="P64">
        <v>4573</v>
      </c>
      <c r="Q64">
        <v>2973</v>
      </c>
      <c r="R64">
        <v>475</v>
      </c>
      <c r="S64">
        <v>11</v>
      </c>
      <c r="T64">
        <v>1000</v>
      </c>
      <c r="U64">
        <v>4685</v>
      </c>
      <c r="V64">
        <v>725</v>
      </c>
      <c r="W64">
        <v>17</v>
      </c>
      <c r="X64">
        <v>9</v>
      </c>
      <c r="Y64">
        <v>17</v>
      </c>
      <c r="Z64">
        <v>11710</v>
      </c>
      <c r="AA64">
        <v>8251</v>
      </c>
      <c r="AB64">
        <v>8666</v>
      </c>
      <c r="AC64">
        <v>81</v>
      </c>
      <c r="AD64">
        <v>27</v>
      </c>
      <c r="AE64">
        <v>17</v>
      </c>
      <c r="AF64">
        <v>4</v>
      </c>
      <c r="AG64">
        <v>154</v>
      </c>
      <c r="AH64">
        <v>11</v>
      </c>
      <c r="AI64">
        <v>4</v>
      </c>
      <c r="AJ64">
        <v>2</v>
      </c>
      <c r="AK64">
        <v>1</v>
      </c>
      <c r="AL64">
        <v>0</v>
      </c>
      <c r="AM64">
        <v>12</v>
      </c>
      <c r="AN64">
        <v>35</v>
      </c>
      <c r="AO64">
        <v>33</v>
      </c>
      <c r="AP64">
        <v>8</v>
      </c>
      <c r="AQ64">
        <v>4</v>
      </c>
      <c r="AR64">
        <v>50</v>
      </c>
      <c r="AS64">
        <v>33</v>
      </c>
      <c r="AT64">
        <v>18</v>
      </c>
      <c r="AU64">
        <f t="shared" si="8"/>
        <v>615</v>
      </c>
      <c r="AV64">
        <v>202</v>
      </c>
      <c r="AW64">
        <v>14</v>
      </c>
      <c r="AX64">
        <v>17</v>
      </c>
      <c r="AY64">
        <v>11</v>
      </c>
      <c r="AZ64">
        <v>4</v>
      </c>
      <c r="BA64">
        <v>5</v>
      </c>
      <c r="BB64">
        <v>10</v>
      </c>
      <c r="BC64">
        <v>2</v>
      </c>
      <c r="BD64">
        <v>7</v>
      </c>
      <c r="BE64">
        <v>4</v>
      </c>
      <c r="BF64" s="8">
        <f t="shared" si="1"/>
        <v>6343</v>
      </c>
      <c r="BG64" s="8">
        <f t="shared" si="2"/>
        <v>213</v>
      </c>
      <c r="BH64" s="8">
        <f t="shared" si="3"/>
        <v>15</v>
      </c>
      <c r="BI64" s="8">
        <f t="shared" si="4"/>
        <v>4</v>
      </c>
      <c r="BJ64" s="8">
        <f t="shared" si="6"/>
        <v>267</v>
      </c>
      <c r="BK64" s="12">
        <v>554</v>
      </c>
      <c r="BL64" s="12">
        <v>159</v>
      </c>
      <c r="BM64">
        <v>8882</v>
      </c>
      <c r="BN64">
        <v>3359</v>
      </c>
      <c r="BO64">
        <v>261</v>
      </c>
      <c r="BP64" s="12">
        <v>428</v>
      </c>
      <c r="BQ64" s="8">
        <f t="shared" si="9"/>
        <v>125</v>
      </c>
      <c r="BR64" s="8">
        <f t="shared" si="5"/>
        <v>305</v>
      </c>
      <c r="BS64">
        <v>68</v>
      </c>
      <c r="BT64">
        <v>12</v>
      </c>
      <c r="BU64">
        <v>33</v>
      </c>
      <c r="BV64">
        <v>10</v>
      </c>
      <c r="BW64">
        <v>2</v>
      </c>
    </row>
    <row r="65" spans="1:75" s="12" customFormat="1" x14ac:dyDescent="0.25">
      <c r="A65" s="10">
        <v>44652</v>
      </c>
      <c r="B65" s="11" t="s">
        <v>79</v>
      </c>
      <c r="C65" s="12">
        <v>1</v>
      </c>
      <c r="D65" s="13" t="s">
        <v>92</v>
      </c>
      <c r="E65">
        <v>1460</v>
      </c>
      <c r="F65">
        <v>777</v>
      </c>
      <c r="G65">
        <v>3760</v>
      </c>
      <c r="H65">
        <v>872</v>
      </c>
      <c r="I65">
        <v>3365</v>
      </c>
      <c r="J65">
        <v>3504</v>
      </c>
      <c r="K65">
        <v>885</v>
      </c>
      <c r="L65">
        <v>5504</v>
      </c>
      <c r="M65">
        <v>1365</v>
      </c>
      <c r="N65">
        <v>6291</v>
      </c>
      <c r="O65">
        <v>578</v>
      </c>
      <c r="P65">
        <v>4758</v>
      </c>
      <c r="Q65">
        <v>2856</v>
      </c>
      <c r="R65">
        <v>350</v>
      </c>
      <c r="S65">
        <v>18</v>
      </c>
      <c r="T65">
        <v>893</v>
      </c>
      <c r="U65">
        <v>5361</v>
      </c>
      <c r="V65">
        <v>907</v>
      </c>
      <c r="W65">
        <v>11</v>
      </c>
      <c r="X65">
        <v>3</v>
      </c>
      <c r="Y65">
        <v>12</v>
      </c>
      <c r="Z65">
        <v>11728</v>
      </c>
      <c r="AA65">
        <v>8861</v>
      </c>
      <c r="AB65">
        <v>9137</v>
      </c>
      <c r="AC65">
        <v>98</v>
      </c>
      <c r="AD65">
        <v>38</v>
      </c>
      <c r="AE65">
        <v>25</v>
      </c>
      <c r="AF65">
        <v>1</v>
      </c>
      <c r="AG65">
        <v>150</v>
      </c>
      <c r="AH65">
        <v>9</v>
      </c>
      <c r="AI65">
        <v>0</v>
      </c>
      <c r="AJ65">
        <v>2</v>
      </c>
      <c r="AK65">
        <v>0</v>
      </c>
      <c r="AL65">
        <v>0</v>
      </c>
      <c r="AM65">
        <v>6</v>
      </c>
      <c r="AN65">
        <v>26</v>
      </c>
      <c r="AO65">
        <v>29</v>
      </c>
      <c r="AP65">
        <v>11</v>
      </c>
      <c r="AQ65">
        <v>6</v>
      </c>
      <c r="AR65">
        <v>52</v>
      </c>
      <c r="AS65">
        <v>28</v>
      </c>
      <c r="AT65">
        <v>23</v>
      </c>
      <c r="AU65">
        <f t="shared" si="8"/>
        <v>624</v>
      </c>
      <c r="AV65">
        <v>148</v>
      </c>
      <c r="AW65">
        <v>8</v>
      </c>
      <c r="AX65">
        <v>14</v>
      </c>
      <c r="AY65">
        <v>13</v>
      </c>
      <c r="AZ65">
        <v>2</v>
      </c>
      <c r="BA65">
        <v>1</v>
      </c>
      <c r="BB65">
        <v>9</v>
      </c>
      <c r="BC65">
        <v>5</v>
      </c>
      <c r="BD65">
        <v>8</v>
      </c>
      <c r="BE65">
        <v>5</v>
      </c>
      <c r="BF65" s="8">
        <f t="shared" si="1"/>
        <v>6869</v>
      </c>
      <c r="BG65" s="8">
        <f t="shared" si="2"/>
        <v>223</v>
      </c>
      <c r="BH65" s="8">
        <f t="shared" si="3"/>
        <v>8</v>
      </c>
      <c r="BI65" s="8">
        <f t="shared" si="4"/>
        <v>0</v>
      </c>
      <c r="BJ65" s="8">
        <f t="shared" si="6"/>
        <v>257</v>
      </c>
      <c r="BK65" s="12">
        <v>703</v>
      </c>
      <c r="BL65" s="12">
        <v>168</v>
      </c>
      <c r="BM65">
        <v>8082</v>
      </c>
      <c r="BN65">
        <v>3475</v>
      </c>
      <c r="BO65">
        <v>192</v>
      </c>
      <c r="BP65" s="12">
        <v>565</v>
      </c>
      <c r="BQ65" s="8">
        <f t="shared" si="9"/>
        <v>219</v>
      </c>
      <c r="BR65" s="8">
        <f t="shared" si="5"/>
        <v>237</v>
      </c>
      <c r="BS65">
        <v>111</v>
      </c>
      <c r="BT65">
        <v>14</v>
      </c>
      <c r="BU65">
        <v>71</v>
      </c>
      <c r="BV65">
        <v>9</v>
      </c>
      <c r="BW65">
        <v>14</v>
      </c>
    </row>
    <row r="66" spans="1:75" x14ac:dyDescent="0.25">
      <c r="A66" s="2">
        <v>44682</v>
      </c>
      <c r="B66" s="3" t="s">
        <v>80</v>
      </c>
      <c r="C66">
        <v>2</v>
      </c>
      <c r="D66" s="1" t="s">
        <v>92</v>
      </c>
      <c r="E66">
        <v>1471</v>
      </c>
      <c r="F66">
        <v>863</v>
      </c>
      <c r="G66">
        <v>3981</v>
      </c>
      <c r="H66">
        <v>848</v>
      </c>
      <c r="I66">
        <v>3651</v>
      </c>
      <c r="J66">
        <v>3512</v>
      </c>
      <c r="K66">
        <v>961</v>
      </c>
      <c r="L66">
        <v>5700</v>
      </c>
      <c r="M66">
        <v>1463</v>
      </c>
      <c r="N66">
        <v>6878</v>
      </c>
      <c r="O66">
        <v>285</v>
      </c>
      <c r="P66">
        <v>4351</v>
      </c>
      <c r="Q66">
        <v>2530</v>
      </c>
      <c r="R66">
        <v>14</v>
      </c>
      <c r="S66">
        <v>0</v>
      </c>
      <c r="T66">
        <v>382</v>
      </c>
      <c r="U66">
        <v>4516</v>
      </c>
      <c r="V66">
        <v>1089</v>
      </c>
      <c r="W66">
        <v>17</v>
      </c>
      <c r="X66">
        <v>2</v>
      </c>
      <c r="Y66">
        <v>10</v>
      </c>
      <c r="Z66">
        <v>12395</v>
      </c>
      <c r="AA66">
        <v>9531</v>
      </c>
      <c r="AB66">
        <v>10448</v>
      </c>
      <c r="AC66">
        <v>69</v>
      </c>
      <c r="AD66">
        <v>28</v>
      </c>
      <c r="AE66">
        <v>19</v>
      </c>
      <c r="AF66">
        <v>5</v>
      </c>
      <c r="AG66">
        <v>147</v>
      </c>
      <c r="AH66">
        <v>8</v>
      </c>
      <c r="AI66">
        <v>3</v>
      </c>
      <c r="AJ66">
        <v>6</v>
      </c>
      <c r="AK66">
        <v>2</v>
      </c>
      <c r="AL66">
        <v>0</v>
      </c>
      <c r="AM66">
        <v>8</v>
      </c>
      <c r="AN66">
        <v>13</v>
      </c>
      <c r="AO66">
        <v>33</v>
      </c>
      <c r="AP66">
        <v>10</v>
      </c>
      <c r="AQ66">
        <v>5</v>
      </c>
      <c r="AR66">
        <v>38</v>
      </c>
      <c r="AS66">
        <v>49</v>
      </c>
      <c r="AT66">
        <v>15</v>
      </c>
      <c r="AU66">
        <f t="shared" si="8"/>
        <v>587</v>
      </c>
      <c r="AV66">
        <v>159</v>
      </c>
      <c r="AW66">
        <v>22</v>
      </c>
      <c r="AX66">
        <v>4</v>
      </c>
      <c r="AY66">
        <v>16</v>
      </c>
      <c r="AZ66">
        <v>1</v>
      </c>
      <c r="BA66">
        <v>1</v>
      </c>
      <c r="BB66">
        <v>9</v>
      </c>
      <c r="BC66">
        <v>1</v>
      </c>
      <c r="BD66">
        <v>7</v>
      </c>
      <c r="BE66">
        <v>12</v>
      </c>
      <c r="BF66" s="8">
        <f t="shared" si="1"/>
        <v>7163</v>
      </c>
      <c r="BG66" s="8">
        <f t="shared" si="2"/>
        <v>207</v>
      </c>
      <c r="BH66" s="8">
        <f t="shared" si="3"/>
        <v>16</v>
      </c>
      <c r="BI66" s="8">
        <f t="shared" si="4"/>
        <v>3</v>
      </c>
      <c r="BJ66" s="8">
        <f t="shared" si="6"/>
        <v>239</v>
      </c>
      <c r="BK66">
        <v>664</v>
      </c>
      <c r="BL66" s="12">
        <v>191</v>
      </c>
      <c r="BM66">
        <v>9339</v>
      </c>
      <c r="BN66">
        <v>3047</v>
      </c>
      <c r="BO66">
        <v>190</v>
      </c>
      <c r="BP66">
        <v>596</v>
      </c>
      <c r="BQ66" s="8">
        <f t="shared" si="9"/>
        <v>215</v>
      </c>
      <c r="BR66" s="8">
        <f t="shared" si="5"/>
        <v>253</v>
      </c>
      <c r="BS66">
        <v>114</v>
      </c>
      <c r="BT66">
        <v>23</v>
      </c>
      <c r="BU66">
        <v>52</v>
      </c>
      <c r="BV66">
        <v>12</v>
      </c>
      <c r="BW66">
        <v>14</v>
      </c>
    </row>
    <row r="67" spans="1:75" x14ac:dyDescent="0.25">
      <c r="A67" s="2">
        <v>44713</v>
      </c>
      <c r="B67" s="3" t="s">
        <v>81</v>
      </c>
      <c r="C67">
        <v>2</v>
      </c>
      <c r="D67" s="1" t="s">
        <v>92</v>
      </c>
      <c r="E67">
        <v>1287</v>
      </c>
      <c r="F67">
        <v>820</v>
      </c>
      <c r="G67">
        <v>3936</v>
      </c>
      <c r="H67">
        <v>812</v>
      </c>
      <c r="I67">
        <v>3490</v>
      </c>
      <c r="J67">
        <v>3365</v>
      </c>
      <c r="K67">
        <v>963</v>
      </c>
      <c r="L67">
        <v>5376</v>
      </c>
      <c r="M67">
        <v>1479</v>
      </c>
      <c r="N67">
        <v>6542</v>
      </c>
      <c r="O67">
        <v>313</v>
      </c>
      <c r="P67">
        <v>4429</v>
      </c>
      <c r="Q67">
        <v>2980</v>
      </c>
      <c r="R67">
        <v>45</v>
      </c>
      <c r="S67">
        <v>0</v>
      </c>
      <c r="T67">
        <v>294</v>
      </c>
      <c r="U67">
        <v>4878</v>
      </c>
      <c r="V67">
        <v>1011</v>
      </c>
      <c r="W67">
        <v>11</v>
      </c>
      <c r="X67">
        <v>0</v>
      </c>
      <c r="Y67">
        <v>13</v>
      </c>
      <c r="Z67">
        <v>11412</v>
      </c>
      <c r="AA67">
        <v>9451</v>
      </c>
      <c r="AB67">
        <v>10256</v>
      </c>
      <c r="AC67">
        <v>32</v>
      </c>
      <c r="AD67">
        <v>36</v>
      </c>
      <c r="AE67">
        <v>20</v>
      </c>
      <c r="AF67">
        <v>1</v>
      </c>
      <c r="AG67">
        <v>121</v>
      </c>
      <c r="AH67">
        <v>11</v>
      </c>
      <c r="AI67">
        <v>0</v>
      </c>
      <c r="AJ67">
        <v>1</v>
      </c>
      <c r="AK67">
        <v>3</v>
      </c>
      <c r="AL67">
        <v>0</v>
      </c>
      <c r="AM67">
        <v>8</v>
      </c>
      <c r="AN67">
        <v>19</v>
      </c>
      <c r="AO67">
        <v>16</v>
      </c>
      <c r="AP67">
        <v>22</v>
      </c>
      <c r="AQ67">
        <v>2</v>
      </c>
      <c r="AR67">
        <v>36</v>
      </c>
      <c r="AS67">
        <v>38</v>
      </c>
      <c r="AT67">
        <v>13</v>
      </c>
      <c r="AU67">
        <f t="shared" si="8"/>
        <v>649</v>
      </c>
      <c r="AV67">
        <v>123</v>
      </c>
      <c r="AW67">
        <v>10</v>
      </c>
      <c r="AX67">
        <v>8</v>
      </c>
      <c r="AY67">
        <v>6</v>
      </c>
      <c r="AZ67">
        <v>1</v>
      </c>
      <c r="BA67">
        <v>2</v>
      </c>
      <c r="BB67">
        <v>10</v>
      </c>
      <c r="BC67">
        <v>2</v>
      </c>
      <c r="BD67">
        <v>3</v>
      </c>
      <c r="BE67">
        <v>0</v>
      </c>
      <c r="BF67" s="8">
        <f t="shared" si="1"/>
        <v>6855</v>
      </c>
      <c r="BG67" s="8">
        <f t="shared" si="2"/>
        <v>189</v>
      </c>
      <c r="BH67" s="8">
        <f t="shared" si="3"/>
        <v>12</v>
      </c>
      <c r="BI67" s="8">
        <f t="shared" si="4"/>
        <v>0</v>
      </c>
      <c r="BJ67" s="8">
        <f t="shared" si="6"/>
        <v>220</v>
      </c>
      <c r="BK67" s="12">
        <v>692</v>
      </c>
      <c r="BL67" s="12">
        <v>158</v>
      </c>
      <c r="BM67">
        <v>7558</v>
      </c>
      <c r="BN67">
        <v>3235</v>
      </c>
      <c r="BO67">
        <v>256</v>
      </c>
      <c r="BP67">
        <v>538</v>
      </c>
      <c r="BQ67" s="8">
        <f t="shared" si="9"/>
        <v>330</v>
      </c>
      <c r="BR67" s="8">
        <f t="shared" si="5"/>
        <v>181</v>
      </c>
      <c r="BS67">
        <v>167</v>
      </c>
      <c r="BT67">
        <v>29</v>
      </c>
      <c r="BU67">
        <v>94</v>
      </c>
      <c r="BV67">
        <v>14</v>
      </c>
      <c r="BW67">
        <v>26</v>
      </c>
    </row>
    <row r="68" spans="1:75" x14ac:dyDescent="0.25">
      <c r="A68" s="2">
        <v>44743</v>
      </c>
      <c r="B68" s="3" t="s">
        <v>82</v>
      </c>
      <c r="C68">
        <v>2</v>
      </c>
      <c r="D68" s="1" t="s">
        <v>92</v>
      </c>
      <c r="E68">
        <v>1204</v>
      </c>
      <c r="F68">
        <v>880</v>
      </c>
      <c r="G68">
        <v>4603</v>
      </c>
      <c r="H68">
        <v>1062</v>
      </c>
      <c r="I68">
        <v>3904</v>
      </c>
      <c r="J68">
        <v>3845</v>
      </c>
      <c r="K68">
        <v>898</v>
      </c>
      <c r="L68">
        <v>5967</v>
      </c>
      <c r="M68">
        <v>1782</v>
      </c>
      <c r="N68">
        <v>7269</v>
      </c>
      <c r="O68">
        <v>480</v>
      </c>
      <c r="P68">
        <v>5429</v>
      </c>
      <c r="Q68">
        <v>3452</v>
      </c>
      <c r="R68">
        <v>336</v>
      </c>
      <c r="S68">
        <v>152</v>
      </c>
      <c r="T68">
        <v>713</v>
      </c>
      <c r="U68">
        <v>5846</v>
      </c>
      <c r="V68">
        <v>1040</v>
      </c>
      <c r="W68">
        <v>11</v>
      </c>
      <c r="X68">
        <v>10</v>
      </c>
      <c r="Y68">
        <v>17</v>
      </c>
      <c r="Z68">
        <v>14495</v>
      </c>
      <c r="AA68">
        <v>11185</v>
      </c>
      <c r="AB68">
        <v>9643</v>
      </c>
      <c r="AC68">
        <v>125</v>
      </c>
      <c r="AD68">
        <v>24</v>
      </c>
      <c r="AE68">
        <v>18</v>
      </c>
      <c r="AF68">
        <v>1</v>
      </c>
      <c r="AG68">
        <v>149</v>
      </c>
      <c r="AH68">
        <v>15</v>
      </c>
      <c r="AI68">
        <v>1</v>
      </c>
      <c r="AJ68">
        <v>11</v>
      </c>
      <c r="AK68">
        <v>7</v>
      </c>
      <c r="AL68">
        <v>1</v>
      </c>
      <c r="AM68">
        <v>7</v>
      </c>
      <c r="AN68">
        <v>12</v>
      </c>
      <c r="AO68">
        <v>25</v>
      </c>
      <c r="AP68">
        <v>8</v>
      </c>
      <c r="AQ68">
        <v>6</v>
      </c>
      <c r="AR68">
        <v>52</v>
      </c>
      <c r="AS68">
        <v>33</v>
      </c>
      <c r="AT68">
        <v>22</v>
      </c>
      <c r="AU68">
        <f t="shared" si="8"/>
        <v>707</v>
      </c>
      <c r="AV68">
        <v>159</v>
      </c>
      <c r="AW68">
        <v>21</v>
      </c>
      <c r="AX68">
        <v>11</v>
      </c>
      <c r="AY68">
        <v>5</v>
      </c>
      <c r="AZ68">
        <v>2</v>
      </c>
      <c r="BA68">
        <v>1</v>
      </c>
      <c r="BB68">
        <v>8</v>
      </c>
      <c r="BC68">
        <v>3</v>
      </c>
      <c r="BD68">
        <v>6</v>
      </c>
      <c r="BE68">
        <v>7</v>
      </c>
      <c r="BF68" s="8">
        <f t="shared" si="1"/>
        <v>7749</v>
      </c>
      <c r="BG68" s="8">
        <f t="shared" si="2"/>
        <v>207</v>
      </c>
      <c r="BH68" s="8">
        <f t="shared" si="3"/>
        <v>26</v>
      </c>
      <c r="BI68" s="8">
        <f t="shared" si="4"/>
        <v>1</v>
      </c>
      <c r="BJ68" s="8">
        <f t="shared" si="6"/>
        <v>246</v>
      </c>
      <c r="BK68" s="12">
        <v>583</v>
      </c>
      <c r="BL68" s="12">
        <v>154</v>
      </c>
      <c r="BM68">
        <v>7106</v>
      </c>
      <c r="BN68">
        <v>3302</v>
      </c>
      <c r="BO68">
        <v>209</v>
      </c>
      <c r="BP68">
        <v>541</v>
      </c>
      <c r="BQ68" s="8">
        <f t="shared" si="9"/>
        <v>370</v>
      </c>
      <c r="BR68" s="8">
        <f t="shared" si="5"/>
        <v>241</v>
      </c>
      <c r="BS68">
        <v>188</v>
      </c>
      <c r="BT68">
        <v>32</v>
      </c>
      <c r="BU68">
        <v>106</v>
      </c>
      <c r="BV68">
        <v>15</v>
      </c>
      <c r="BW68">
        <v>29</v>
      </c>
    </row>
    <row r="69" spans="1:75" x14ac:dyDescent="0.25">
      <c r="A69" s="2">
        <v>44774</v>
      </c>
      <c r="B69" s="3" t="s">
        <v>83</v>
      </c>
      <c r="C69">
        <v>2</v>
      </c>
      <c r="D69" s="1" t="s">
        <v>92</v>
      </c>
      <c r="E69">
        <v>1116</v>
      </c>
      <c r="F69">
        <v>919</v>
      </c>
      <c r="G69">
        <v>4547</v>
      </c>
      <c r="H69">
        <v>884</v>
      </c>
      <c r="I69">
        <v>3853</v>
      </c>
      <c r="J69">
        <v>3613</v>
      </c>
      <c r="K69">
        <v>948</v>
      </c>
      <c r="L69">
        <v>5938</v>
      </c>
      <c r="M69">
        <v>1528</v>
      </c>
      <c r="N69">
        <v>7241</v>
      </c>
      <c r="O69">
        <v>225</v>
      </c>
      <c r="P69">
        <v>5534</v>
      </c>
      <c r="Q69">
        <v>3593</v>
      </c>
      <c r="R69">
        <v>392</v>
      </c>
      <c r="S69">
        <v>94</v>
      </c>
      <c r="T69">
        <v>980</v>
      </c>
      <c r="U69">
        <v>6482</v>
      </c>
      <c r="V69">
        <v>949</v>
      </c>
      <c r="W69">
        <v>11</v>
      </c>
      <c r="X69">
        <v>18</v>
      </c>
      <c r="Y69">
        <v>13</v>
      </c>
      <c r="Z69">
        <v>15158</v>
      </c>
      <c r="AA69">
        <v>12702</v>
      </c>
      <c r="AB69">
        <v>8698</v>
      </c>
      <c r="AC69">
        <v>128</v>
      </c>
      <c r="AD69">
        <v>43</v>
      </c>
      <c r="AE69">
        <v>23</v>
      </c>
      <c r="AF69">
        <v>0</v>
      </c>
      <c r="AG69">
        <v>175</v>
      </c>
      <c r="AH69">
        <v>9</v>
      </c>
      <c r="AI69">
        <v>1</v>
      </c>
      <c r="AJ69">
        <v>6</v>
      </c>
      <c r="AK69">
        <v>3</v>
      </c>
      <c r="AL69">
        <v>0</v>
      </c>
      <c r="AM69">
        <v>7</v>
      </c>
      <c r="AN69">
        <v>23</v>
      </c>
      <c r="AO69">
        <v>22</v>
      </c>
      <c r="AP69">
        <v>9</v>
      </c>
      <c r="AQ69">
        <v>1</v>
      </c>
      <c r="AR69">
        <v>47</v>
      </c>
      <c r="AS69">
        <v>16</v>
      </c>
      <c r="AT69">
        <v>22</v>
      </c>
      <c r="AU69">
        <f t="shared" si="8"/>
        <v>683</v>
      </c>
      <c r="AV69">
        <v>172</v>
      </c>
      <c r="AW69">
        <v>17</v>
      </c>
      <c r="AX69">
        <v>18</v>
      </c>
      <c r="AY69">
        <v>5</v>
      </c>
      <c r="AZ69">
        <v>5</v>
      </c>
      <c r="BA69">
        <v>2</v>
      </c>
      <c r="BB69">
        <v>12</v>
      </c>
      <c r="BC69">
        <v>1</v>
      </c>
      <c r="BD69">
        <v>18</v>
      </c>
      <c r="BE69">
        <v>3</v>
      </c>
      <c r="BF69" s="8">
        <f t="shared" si="1"/>
        <v>7466</v>
      </c>
      <c r="BG69" s="8">
        <f t="shared" si="2"/>
        <v>250</v>
      </c>
      <c r="BH69" s="8">
        <f t="shared" si="3"/>
        <v>16</v>
      </c>
      <c r="BI69" s="8">
        <f t="shared" si="4"/>
        <v>1</v>
      </c>
      <c r="BJ69" s="8">
        <f t="shared" si="6"/>
        <v>290</v>
      </c>
      <c r="BK69">
        <v>613</v>
      </c>
      <c r="BL69" s="12">
        <v>178</v>
      </c>
      <c r="BM69">
        <v>7774</v>
      </c>
      <c r="BN69">
        <v>2861</v>
      </c>
      <c r="BO69">
        <v>193</v>
      </c>
      <c r="BP69">
        <v>484</v>
      </c>
      <c r="BQ69" s="8">
        <f t="shared" si="9"/>
        <v>374</v>
      </c>
      <c r="BR69" s="8">
        <f t="shared" si="5"/>
        <v>272</v>
      </c>
      <c r="BS69">
        <v>189</v>
      </c>
      <c r="BT69">
        <v>35</v>
      </c>
      <c r="BU69">
        <v>107</v>
      </c>
      <c r="BV69">
        <v>19</v>
      </c>
      <c r="BW69">
        <v>24</v>
      </c>
    </row>
    <row r="70" spans="1:75" x14ac:dyDescent="0.25">
      <c r="A70" s="2">
        <v>44805</v>
      </c>
      <c r="B70" s="3" t="s">
        <v>84</v>
      </c>
      <c r="C70">
        <v>3</v>
      </c>
      <c r="D70" s="1" t="s">
        <v>92</v>
      </c>
      <c r="E70">
        <v>1178</v>
      </c>
      <c r="F70">
        <v>866</v>
      </c>
      <c r="G70">
        <v>4736</v>
      </c>
      <c r="H70">
        <v>847</v>
      </c>
      <c r="I70">
        <v>3874</v>
      </c>
      <c r="J70">
        <v>3753</v>
      </c>
      <c r="K70">
        <v>867</v>
      </c>
      <c r="L70">
        <v>6164</v>
      </c>
      <c r="M70">
        <v>1463</v>
      </c>
      <c r="N70">
        <v>15764</v>
      </c>
      <c r="O70">
        <v>187</v>
      </c>
      <c r="P70">
        <v>5625</v>
      </c>
      <c r="Q70">
        <v>2476</v>
      </c>
      <c r="R70">
        <v>385</v>
      </c>
      <c r="S70">
        <v>35</v>
      </c>
      <c r="T70">
        <v>975</v>
      </c>
      <c r="U70">
        <v>6749</v>
      </c>
      <c r="V70">
        <v>1007</v>
      </c>
      <c r="W70">
        <v>11</v>
      </c>
      <c r="X70">
        <v>13</v>
      </c>
      <c r="Y70">
        <v>11</v>
      </c>
      <c r="Z70">
        <v>14631</v>
      </c>
      <c r="AA70">
        <v>13617</v>
      </c>
      <c r="AB70">
        <v>8137</v>
      </c>
      <c r="AC70">
        <v>101</v>
      </c>
      <c r="AD70">
        <v>45</v>
      </c>
      <c r="AE70">
        <v>19</v>
      </c>
      <c r="AF70">
        <v>1</v>
      </c>
      <c r="AG70">
        <v>162</v>
      </c>
      <c r="AH70">
        <v>12</v>
      </c>
      <c r="AI70">
        <v>2</v>
      </c>
      <c r="AJ70">
        <v>2</v>
      </c>
      <c r="AK70">
        <v>0</v>
      </c>
      <c r="AL70">
        <v>2</v>
      </c>
      <c r="AM70">
        <v>5</v>
      </c>
      <c r="AN70">
        <v>32</v>
      </c>
      <c r="AO70">
        <v>31</v>
      </c>
      <c r="AP70">
        <v>14</v>
      </c>
      <c r="AQ70">
        <v>6</v>
      </c>
      <c r="AR70">
        <v>53</v>
      </c>
      <c r="AS70">
        <v>21</v>
      </c>
      <c r="AT70">
        <v>26</v>
      </c>
      <c r="AU70">
        <f t="shared" si="8"/>
        <v>729</v>
      </c>
      <c r="AV70">
        <v>153</v>
      </c>
      <c r="AW70">
        <v>8</v>
      </c>
      <c r="AX70">
        <v>9</v>
      </c>
      <c r="AY70">
        <v>10</v>
      </c>
      <c r="AZ70">
        <v>3</v>
      </c>
      <c r="BA70">
        <v>8</v>
      </c>
      <c r="BB70">
        <v>6</v>
      </c>
      <c r="BC70">
        <v>0</v>
      </c>
      <c r="BD70">
        <v>23</v>
      </c>
      <c r="BE70">
        <v>4</v>
      </c>
      <c r="BF70" s="8">
        <f t="shared" si="1"/>
        <v>7627</v>
      </c>
      <c r="BG70" s="8">
        <f t="shared" si="2"/>
        <v>239</v>
      </c>
      <c r="BH70" s="8">
        <f t="shared" si="3"/>
        <v>9</v>
      </c>
      <c r="BI70" s="8">
        <f t="shared" si="4"/>
        <v>2</v>
      </c>
      <c r="BJ70" s="8">
        <f t="shared" si="6"/>
        <v>282</v>
      </c>
      <c r="BK70" s="12">
        <v>626</v>
      </c>
      <c r="BL70" s="12">
        <v>174</v>
      </c>
      <c r="BM70">
        <v>8128</v>
      </c>
      <c r="BN70">
        <v>3004</v>
      </c>
      <c r="BO70">
        <v>201</v>
      </c>
      <c r="BP70">
        <v>572</v>
      </c>
      <c r="BQ70" s="8">
        <f t="shared" si="9"/>
        <v>291</v>
      </c>
      <c r="BR70" s="8">
        <f t="shared" si="5"/>
        <v>251</v>
      </c>
      <c r="BS70">
        <v>142</v>
      </c>
      <c r="BT70">
        <v>23</v>
      </c>
      <c r="BU70">
        <v>96</v>
      </c>
      <c r="BV70">
        <v>10</v>
      </c>
      <c r="BW70">
        <v>20</v>
      </c>
    </row>
    <row r="71" spans="1:75" x14ac:dyDescent="0.25">
      <c r="A71" s="2">
        <v>44835</v>
      </c>
      <c r="B71" s="3" t="s">
        <v>85</v>
      </c>
      <c r="C71">
        <v>3</v>
      </c>
      <c r="D71" s="1" t="s">
        <v>92</v>
      </c>
      <c r="E71">
        <v>1345</v>
      </c>
      <c r="F71">
        <v>929</v>
      </c>
      <c r="G71">
        <v>5193</v>
      </c>
      <c r="H71">
        <v>762</v>
      </c>
      <c r="I71">
        <v>4071</v>
      </c>
      <c r="J71">
        <v>4158</v>
      </c>
      <c r="K71">
        <v>1049</v>
      </c>
      <c r="L71">
        <v>6544</v>
      </c>
      <c r="M71">
        <v>1685</v>
      </c>
      <c r="N71">
        <v>16798</v>
      </c>
      <c r="O71">
        <v>180</v>
      </c>
      <c r="P71">
        <v>6708</v>
      </c>
      <c r="Q71">
        <v>3555</v>
      </c>
      <c r="R71">
        <v>399</v>
      </c>
      <c r="S71">
        <v>33</v>
      </c>
      <c r="T71">
        <v>927</v>
      </c>
      <c r="U71">
        <v>7903</v>
      </c>
      <c r="V71">
        <v>1210</v>
      </c>
      <c r="W71">
        <v>7</v>
      </c>
      <c r="X71">
        <v>8</v>
      </c>
      <c r="Y71">
        <v>12</v>
      </c>
      <c r="Z71">
        <v>15754</v>
      </c>
      <c r="AA71">
        <v>13111</v>
      </c>
      <c r="AB71">
        <v>8569</v>
      </c>
      <c r="AC71">
        <v>91</v>
      </c>
      <c r="AD71">
        <v>49</v>
      </c>
      <c r="AE71">
        <v>29</v>
      </c>
      <c r="AF71">
        <v>1</v>
      </c>
      <c r="AG71">
        <v>199</v>
      </c>
      <c r="AH71">
        <v>19</v>
      </c>
      <c r="AI71">
        <v>2</v>
      </c>
      <c r="AJ71">
        <v>2</v>
      </c>
      <c r="AK71">
        <v>3</v>
      </c>
      <c r="AL71">
        <v>0</v>
      </c>
      <c r="AM71">
        <v>11</v>
      </c>
      <c r="AN71">
        <v>22</v>
      </c>
      <c r="AO71">
        <v>24</v>
      </c>
      <c r="AP71">
        <v>14</v>
      </c>
      <c r="AQ71">
        <v>7</v>
      </c>
      <c r="AR71">
        <v>32</v>
      </c>
      <c r="AS71">
        <v>30</v>
      </c>
      <c r="AT71">
        <v>25</v>
      </c>
      <c r="AU71">
        <f t="shared" si="8"/>
        <v>760</v>
      </c>
      <c r="AV71">
        <v>142</v>
      </c>
      <c r="AW71">
        <v>15</v>
      </c>
      <c r="AX71">
        <v>14</v>
      </c>
      <c r="AY71">
        <v>7</v>
      </c>
      <c r="AZ71">
        <v>6</v>
      </c>
      <c r="BA71">
        <v>7</v>
      </c>
      <c r="BB71">
        <v>9</v>
      </c>
      <c r="BC71">
        <v>1</v>
      </c>
      <c r="BD71">
        <v>19</v>
      </c>
      <c r="BE71">
        <v>3</v>
      </c>
      <c r="BF71" s="8">
        <f t="shared" si="1"/>
        <v>8229</v>
      </c>
      <c r="BG71" s="8">
        <f t="shared" si="2"/>
        <v>297</v>
      </c>
      <c r="BH71" s="8">
        <f t="shared" si="3"/>
        <v>16</v>
      </c>
      <c r="BI71" s="8">
        <f t="shared" si="4"/>
        <v>2</v>
      </c>
      <c r="BJ71" s="8">
        <f t="shared" si="6"/>
        <v>337</v>
      </c>
      <c r="BK71">
        <v>648</v>
      </c>
      <c r="BL71" s="12">
        <v>179</v>
      </c>
      <c r="BM71">
        <v>8949</v>
      </c>
      <c r="BN71">
        <v>3377</v>
      </c>
      <c r="BO71">
        <v>218</v>
      </c>
      <c r="BP71">
        <v>613</v>
      </c>
      <c r="BQ71" s="8">
        <f t="shared" si="9"/>
        <v>368</v>
      </c>
      <c r="BR71" s="8">
        <f t="shared" si="5"/>
        <v>244</v>
      </c>
      <c r="BS71">
        <v>203</v>
      </c>
      <c r="BT71">
        <v>30</v>
      </c>
      <c r="BU71">
        <v>107</v>
      </c>
      <c r="BV71">
        <v>12</v>
      </c>
      <c r="BW71">
        <v>16</v>
      </c>
    </row>
    <row r="72" spans="1:75" x14ac:dyDescent="0.25">
      <c r="A72" s="2">
        <v>44866</v>
      </c>
      <c r="B72" s="3" t="s">
        <v>86</v>
      </c>
      <c r="C72">
        <v>3</v>
      </c>
      <c r="D72" s="1" t="s">
        <v>92</v>
      </c>
      <c r="E72">
        <v>1272</v>
      </c>
      <c r="F72">
        <v>854</v>
      </c>
      <c r="G72">
        <v>5086</v>
      </c>
      <c r="H72">
        <v>826</v>
      </c>
      <c r="I72">
        <v>3821</v>
      </c>
      <c r="J72">
        <v>4217</v>
      </c>
      <c r="K72">
        <v>939</v>
      </c>
      <c r="L72">
        <v>6497</v>
      </c>
      <c r="M72">
        <v>1541</v>
      </c>
      <c r="N72">
        <v>16919</v>
      </c>
      <c r="O72">
        <v>107</v>
      </c>
      <c r="P72">
        <v>7155</v>
      </c>
      <c r="Q72">
        <v>3525</v>
      </c>
      <c r="R72">
        <v>527</v>
      </c>
      <c r="S72">
        <v>39</v>
      </c>
      <c r="T72">
        <v>1078</v>
      </c>
      <c r="U72">
        <v>8192</v>
      </c>
      <c r="V72">
        <v>1054</v>
      </c>
      <c r="W72">
        <v>17</v>
      </c>
      <c r="X72">
        <v>7</v>
      </c>
      <c r="Y72">
        <v>20</v>
      </c>
      <c r="Z72">
        <v>16471</v>
      </c>
      <c r="AA72">
        <v>13590</v>
      </c>
      <c r="AB72">
        <v>8881</v>
      </c>
      <c r="AC72">
        <v>100</v>
      </c>
      <c r="AD72">
        <v>29</v>
      </c>
      <c r="AE72">
        <v>20</v>
      </c>
      <c r="AF72">
        <v>2</v>
      </c>
      <c r="AG72">
        <v>156</v>
      </c>
      <c r="AH72">
        <v>11</v>
      </c>
      <c r="AI72">
        <v>1</v>
      </c>
      <c r="AJ72">
        <v>9</v>
      </c>
      <c r="AK72">
        <v>4</v>
      </c>
      <c r="AL72">
        <v>1</v>
      </c>
      <c r="AM72">
        <v>19</v>
      </c>
      <c r="AN72">
        <v>16</v>
      </c>
      <c r="AO72">
        <v>26</v>
      </c>
      <c r="AP72">
        <v>15</v>
      </c>
      <c r="AQ72">
        <v>5</v>
      </c>
      <c r="AR72">
        <v>22</v>
      </c>
      <c r="AS72">
        <v>28</v>
      </c>
      <c r="AT72">
        <v>16</v>
      </c>
      <c r="AU72">
        <f t="shared" si="8"/>
        <v>641</v>
      </c>
      <c r="AV72">
        <v>140</v>
      </c>
      <c r="AW72">
        <v>7</v>
      </c>
      <c r="AX72">
        <v>10</v>
      </c>
      <c r="AY72">
        <v>9</v>
      </c>
      <c r="AZ72">
        <v>3</v>
      </c>
      <c r="BA72">
        <v>11</v>
      </c>
      <c r="BB72">
        <v>14</v>
      </c>
      <c r="BC72">
        <v>1</v>
      </c>
      <c r="BD72">
        <v>14</v>
      </c>
      <c r="BE72">
        <v>1</v>
      </c>
      <c r="BF72" s="8">
        <f t="shared" si="1"/>
        <v>8038</v>
      </c>
      <c r="BG72" s="8">
        <f t="shared" si="2"/>
        <v>218</v>
      </c>
      <c r="BH72" s="8">
        <f t="shared" si="3"/>
        <v>33</v>
      </c>
      <c r="BI72" s="8">
        <f t="shared" si="4"/>
        <v>1</v>
      </c>
      <c r="BJ72" s="8">
        <f t="shared" si="6"/>
        <v>268</v>
      </c>
      <c r="BK72">
        <v>518</v>
      </c>
      <c r="BL72" s="12">
        <v>177</v>
      </c>
      <c r="BM72">
        <v>8418</v>
      </c>
      <c r="BN72">
        <v>3006</v>
      </c>
      <c r="BO72">
        <v>144</v>
      </c>
      <c r="BP72">
        <v>428</v>
      </c>
      <c r="BQ72" s="8">
        <f t="shared" si="9"/>
        <v>367</v>
      </c>
      <c r="BR72" s="8">
        <f t="shared" si="5"/>
        <v>235</v>
      </c>
      <c r="BS72">
        <v>188</v>
      </c>
      <c r="BT72">
        <v>33</v>
      </c>
      <c r="BU72">
        <v>103</v>
      </c>
      <c r="BV72">
        <v>13</v>
      </c>
      <c r="BW72">
        <v>30</v>
      </c>
    </row>
    <row r="73" spans="1:75" x14ac:dyDescent="0.25">
      <c r="A73" s="2">
        <v>44896</v>
      </c>
      <c r="B73" s="3" t="s">
        <v>87</v>
      </c>
      <c r="C73">
        <v>3</v>
      </c>
      <c r="D73" s="1" t="s">
        <v>92</v>
      </c>
      <c r="E73">
        <v>1180</v>
      </c>
      <c r="F73">
        <v>794</v>
      </c>
      <c r="G73">
        <v>4330</v>
      </c>
      <c r="H73">
        <v>744</v>
      </c>
      <c r="I73">
        <v>3467</v>
      </c>
      <c r="J73">
        <v>3581</v>
      </c>
      <c r="K73">
        <v>762</v>
      </c>
      <c r="L73">
        <v>5645</v>
      </c>
      <c r="M73">
        <v>1403</v>
      </c>
      <c r="N73">
        <v>14324</v>
      </c>
      <c r="O73">
        <v>122</v>
      </c>
      <c r="P73">
        <v>5272</v>
      </c>
      <c r="Q73">
        <v>2632</v>
      </c>
      <c r="R73">
        <v>12</v>
      </c>
      <c r="S73">
        <v>0</v>
      </c>
      <c r="T73">
        <v>260</v>
      </c>
      <c r="U73">
        <v>6199</v>
      </c>
      <c r="V73">
        <v>1017</v>
      </c>
      <c r="W73">
        <v>18</v>
      </c>
      <c r="X73">
        <v>0</v>
      </c>
      <c r="Y73">
        <v>21</v>
      </c>
      <c r="Z73">
        <v>12392</v>
      </c>
      <c r="AA73">
        <v>11831</v>
      </c>
      <c r="AB73">
        <v>7276</v>
      </c>
      <c r="AC73">
        <v>115</v>
      </c>
      <c r="AD73">
        <v>34</v>
      </c>
      <c r="AE73">
        <v>22</v>
      </c>
      <c r="AF73">
        <v>0</v>
      </c>
      <c r="AG73">
        <v>195</v>
      </c>
      <c r="AH73">
        <v>11</v>
      </c>
      <c r="AI73">
        <v>0</v>
      </c>
      <c r="AJ73">
        <v>3</v>
      </c>
      <c r="AK73">
        <v>3</v>
      </c>
      <c r="AL73">
        <v>0</v>
      </c>
      <c r="AM73">
        <v>10</v>
      </c>
      <c r="AN73">
        <v>22</v>
      </c>
      <c r="AO73">
        <v>12</v>
      </c>
      <c r="AP73">
        <v>15</v>
      </c>
      <c r="AQ73">
        <v>7</v>
      </c>
      <c r="AR73">
        <v>29</v>
      </c>
      <c r="AS73">
        <v>20</v>
      </c>
      <c r="AT73">
        <v>19</v>
      </c>
      <c r="AU73">
        <f t="shared" si="8"/>
        <v>735</v>
      </c>
      <c r="AV73">
        <v>162</v>
      </c>
      <c r="AW73">
        <v>12</v>
      </c>
      <c r="AX73">
        <v>12</v>
      </c>
      <c r="AY73">
        <v>9</v>
      </c>
      <c r="AZ73">
        <v>5</v>
      </c>
      <c r="BA73">
        <v>9</v>
      </c>
      <c r="BB73">
        <v>2</v>
      </c>
      <c r="BC73">
        <v>0</v>
      </c>
      <c r="BD73">
        <v>21</v>
      </c>
      <c r="BE73">
        <v>2</v>
      </c>
      <c r="BF73" s="8">
        <f t="shared" si="1"/>
        <v>7048</v>
      </c>
      <c r="BG73" s="8">
        <f t="shared" si="2"/>
        <v>262</v>
      </c>
      <c r="BH73" s="8">
        <f t="shared" si="3"/>
        <v>16</v>
      </c>
      <c r="BI73" s="8">
        <f t="shared" si="4"/>
        <v>0</v>
      </c>
      <c r="BJ73" s="8">
        <f t="shared" si="6"/>
        <v>300</v>
      </c>
      <c r="BK73">
        <v>640</v>
      </c>
      <c r="BL73">
        <v>206</v>
      </c>
      <c r="BM73">
        <v>8434</v>
      </c>
      <c r="BN73">
        <v>2986</v>
      </c>
      <c r="BO73">
        <v>131</v>
      </c>
      <c r="BP73">
        <v>464</v>
      </c>
      <c r="BQ73" s="8">
        <f t="shared" si="9"/>
        <v>253</v>
      </c>
      <c r="BR73" s="8">
        <f t="shared" si="5"/>
        <v>244</v>
      </c>
      <c r="BS73">
        <v>129</v>
      </c>
      <c r="BT73">
        <v>26</v>
      </c>
      <c r="BU73">
        <v>72</v>
      </c>
      <c r="BV73">
        <v>7</v>
      </c>
      <c r="BW73">
        <v>19</v>
      </c>
    </row>
    <row r="74" spans="1:75" x14ac:dyDescent="0.25">
      <c r="A74" s="2">
        <v>44927</v>
      </c>
      <c r="B74" s="11" t="s">
        <v>75</v>
      </c>
      <c r="C74" s="12">
        <v>1</v>
      </c>
      <c r="D74" s="14" t="s">
        <v>93</v>
      </c>
      <c r="E74">
        <v>1107</v>
      </c>
      <c r="F74">
        <v>810</v>
      </c>
      <c r="G74">
        <v>4870</v>
      </c>
      <c r="H74">
        <v>840</v>
      </c>
      <c r="I74">
        <v>3991</v>
      </c>
      <c r="J74">
        <v>3636</v>
      </c>
      <c r="K74">
        <v>942</v>
      </c>
      <c r="L74">
        <v>6085</v>
      </c>
      <c r="M74">
        <v>1542</v>
      </c>
      <c r="N74">
        <v>7477</v>
      </c>
      <c r="O74">
        <v>150</v>
      </c>
      <c r="P74">
        <v>6330</v>
      </c>
      <c r="Q74">
        <v>3702</v>
      </c>
      <c r="R74">
        <v>298</v>
      </c>
      <c r="S74">
        <v>29</v>
      </c>
      <c r="T74">
        <v>750</v>
      </c>
      <c r="U74">
        <v>7332</v>
      </c>
      <c r="V74">
        <v>932</v>
      </c>
      <c r="W74">
        <v>19</v>
      </c>
      <c r="X74">
        <v>0</v>
      </c>
      <c r="Y74">
        <v>24</v>
      </c>
      <c r="Z74">
        <v>14634</v>
      </c>
      <c r="AA74">
        <v>12708</v>
      </c>
      <c r="AB74">
        <v>8675</v>
      </c>
      <c r="AC74">
        <v>135</v>
      </c>
      <c r="AD74">
        <v>46</v>
      </c>
      <c r="AE74">
        <v>20</v>
      </c>
      <c r="AF74">
        <v>1</v>
      </c>
      <c r="AG74">
        <v>158</v>
      </c>
      <c r="AH74">
        <v>18</v>
      </c>
      <c r="AI74">
        <v>1</v>
      </c>
      <c r="AJ74">
        <v>4</v>
      </c>
      <c r="AK74">
        <v>1</v>
      </c>
      <c r="AL74">
        <v>1</v>
      </c>
      <c r="AM74">
        <v>12</v>
      </c>
      <c r="AN74">
        <v>14</v>
      </c>
      <c r="AO74">
        <v>25</v>
      </c>
      <c r="AP74">
        <v>8</v>
      </c>
      <c r="AQ74">
        <v>8</v>
      </c>
      <c r="AR74">
        <v>34</v>
      </c>
      <c r="AS74">
        <v>30</v>
      </c>
      <c r="AT74">
        <v>26</v>
      </c>
      <c r="AU74">
        <v>381</v>
      </c>
      <c r="AV74">
        <v>160</v>
      </c>
      <c r="AW74">
        <v>11</v>
      </c>
      <c r="AX74">
        <v>9</v>
      </c>
      <c r="AY74">
        <v>7</v>
      </c>
      <c r="AZ74">
        <v>1</v>
      </c>
      <c r="BA74">
        <v>2</v>
      </c>
      <c r="BB74">
        <v>17</v>
      </c>
      <c r="BC74">
        <v>0</v>
      </c>
      <c r="BD74">
        <v>29</v>
      </c>
      <c r="BE74">
        <v>1</v>
      </c>
      <c r="BF74" s="8">
        <f t="shared" si="1"/>
        <v>7627</v>
      </c>
      <c r="BG74" s="8">
        <f t="shared" si="2"/>
        <v>243</v>
      </c>
      <c r="BH74" s="8">
        <f t="shared" si="3"/>
        <v>18</v>
      </c>
      <c r="BI74" s="8">
        <f t="shared" si="4"/>
        <v>1</v>
      </c>
      <c r="BJ74" s="8">
        <f t="shared" si="6"/>
        <v>276</v>
      </c>
      <c r="BK74">
        <v>661</v>
      </c>
      <c r="BL74">
        <v>181</v>
      </c>
      <c r="BM74">
        <v>9059</v>
      </c>
      <c r="BN74">
        <v>2778</v>
      </c>
      <c r="BO74">
        <v>145</v>
      </c>
      <c r="BP74">
        <v>439</v>
      </c>
      <c r="BQ74" s="8">
        <f t="shared" si="9"/>
        <v>337</v>
      </c>
      <c r="BR74" s="8">
        <f t="shared" si="5"/>
        <v>261</v>
      </c>
      <c r="BS74">
        <v>174</v>
      </c>
      <c r="BT74">
        <v>35</v>
      </c>
      <c r="BU74">
        <v>100</v>
      </c>
      <c r="BV74">
        <v>16</v>
      </c>
      <c r="BW74">
        <v>12</v>
      </c>
    </row>
    <row r="75" spans="1:75" x14ac:dyDescent="0.25">
      <c r="A75" s="2">
        <v>44958</v>
      </c>
      <c r="B75" s="11" t="s">
        <v>77</v>
      </c>
      <c r="C75" s="12">
        <v>1</v>
      </c>
      <c r="D75" s="14" t="s">
        <v>93</v>
      </c>
      <c r="E75">
        <v>1028</v>
      </c>
      <c r="F75">
        <v>783</v>
      </c>
      <c r="G75">
        <v>4520</v>
      </c>
      <c r="H75">
        <v>840</v>
      </c>
      <c r="I75">
        <v>3695</v>
      </c>
      <c r="J75">
        <v>3476</v>
      </c>
      <c r="K75">
        <v>656</v>
      </c>
      <c r="L75">
        <v>5850</v>
      </c>
      <c r="M75">
        <v>1321</v>
      </c>
      <c r="N75">
        <v>6997</v>
      </c>
      <c r="O75">
        <v>174</v>
      </c>
      <c r="P75">
        <v>5495</v>
      </c>
      <c r="Q75">
        <v>3719</v>
      </c>
      <c r="R75">
        <v>20</v>
      </c>
      <c r="S75">
        <v>0</v>
      </c>
      <c r="T75">
        <v>309</v>
      </c>
      <c r="U75">
        <v>5680</v>
      </c>
      <c r="V75">
        <v>875</v>
      </c>
      <c r="W75">
        <v>18</v>
      </c>
      <c r="X75">
        <v>0</v>
      </c>
      <c r="Y75">
        <v>17</v>
      </c>
      <c r="Z75">
        <v>18927</v>
      </c>
      <c r="AA75">
        <v>11336</v>
      </c>
      <c r="AB75">
        <v>7156</v>
      </c>
      <c r="AC75">
        <v>90</v>
      </c>
      <c r="AD75">
        <v>27</v>
      </c>
      <c r="AE75">
        <v>12</v>
      </c>
      <c r="AF75">
        <v>1</v>
      </c>
      <c r="AG75">
        <v>134</v>
      </c>
      <c r="AH75">
        <v>5</v>
      </c>
      <c r="AI75">
        <v>1</v>
      </c>
      <c r="AJ75">
        <v>6</v>
      </c>
      <c r="AK75">
        <v>4</v>
      </c>
      <c r="AL75">
        <v>0</v>
      </c>
      <c r="AM75">
        <v>11</v>
      </c>
      <c r="AN75">
        <v>11</v>
      </c>
      <c r="AO75">
        <v>21</v>
      </c>
      <c r="AP75">
        <v>7</v>
      </c>
      <c r="AQ75">
        <v>4</v>
      </c>
      <c r="AR75">
        <v>22</v>
      </c>
      <c r="AS75">
        <v>34</v>
      </c>
      <c r="AT75">
        <v>13</v>
      </c>
      <c r="AU75">
        <v>246</v>
      </c>
      <c r="AV75">
        <v>155</v>
      </c>
      <c r="AW75">
        <v>6</v>
      </c>
      <c r="AX75">
        <v>12</v>
      </c>
      <c r="AY75">
        <v>10</v>
      </c>
      <c r="AZ75">
        <v>4</v>
      </c>
      <c r="BA75">
        <v>2</v>
      </c>
      <c r="BB75">
        <v>3</v>
      </c>
      <c r="BC75">
        <v>3</v>
      </c>
      <c r="BD75">
        <v>17</v>
      </c>
      <c r="BE75">
        <v>2</v>
      </c>
      <c r="BF75" s="8">
        <f t="shared" si="1"/>
        <v>7171</v>
      </c>
      <c r="BG75" s="8">
        <f t="shared" si="2"/>
        <v>179</v>
      </c>
      <c r="BH75" s="8">
        <f t="shared" si="3"/>
        <v>21</v>
      </c>
      <c r="BI75" s="8">
        <f t="shared" si="4"/>
        <v>1</v>
      </c>
      <c r="BJ75" s="8">
        <f t="shared" si="6"/>
        <v>212</v>
      </c>
      <c r="BK75">
        <v>567</v>
      </c>
      <c r="BL75">
        <v>181</v>
      </c>
      <c r="BM75">
        <v>7858</v>
      </c>
      <c r="BN75">
        <v>2721</v>
      </c>
      <c r="BO75">
        <v>156</v>
      </c>
      <c r="BP75">
        <v>538</v>
      </c>
      <c r="BQ75" s="8">
        <f t="shared" si="9"/>
        <v>337</v>
      </c>
      <c r="BR75" s="8">
        <f t="shared" si="5"/>
        <v>233</v>
      </c>
      <c r="BS75">
        <v>100</v>
      </c>
      <c r="BT75">
        <v>174</v>
      </c>
      <c r="BU75">
        <v>12</v>
      </c>
      <c r="BV75">
        <v>16</v>
      </c>
      <c r="BW75">
        <v>35</v>
      </c>
    </row>
    <row r="76" spans="1:75" x14ac:dyDescent="0.25">
      <c r="A76" s="2">
        <v>44986</v>
      </c>
      <c r="B76" s="11" t="s">
        <v>78</v>
      </c>
      <c r="C76" s="12">
        <v>1</v>
      </c>
      <c r="D76" s="14" t="s">
        <v>93</v>
      </c>
      <c r="E76">
        <v>1489</v>
      </c>
      <c r="F76">
        <v>853</v>
      </c>
      <c r="G76">
        <v>4863</v>
      </c>
      <c r="H76">
        <v>776</v>
      </c>
      <c r="I76">
        <v>4003</v>
      </c>
      <c r="J76">
        <v>3978</v>
      </c>
      <c r="K76">
        <v>829</v>
      </c>
      <c r="L76">
        <v>6588</v>
      </c>
      <c r="M76">
        <v>1393</v>
      </c>
      <c r="N76">
        <v>7831</v>
      </c>
      <c r="O76">
        <v>150</v>
      </c>
      <c r="P76">
        <v>5695</v>
      </c>
      <c r="Q76">
        <v>4286</v>
      </c>
      <c r="R76">
        <v>14</v>
      </c>
      <c r="S76">
        <v>1</v>
      </c>
      <c r="T76">
        <v>334</v>
      </c>
      <c r="U76">
        <v>6481</v>
      </c>
      <c r="V76">
        <v>1508</v>
      </c>
      <c r="W76">
        <v>17</v>
      </c>
      <c r="X76">
        <v>0</v>
      </c>
      <c r="Y76">
        <v>20</v>
      </c>
      <c r="Z76">
        <v>21318</v>
      </c>
      <c r="AA76">
        <v>12151</v>
      </c>
      <c r="AB76">
        <v>8346</v>
      </c>
      <c r="AC76">
        <v>101</v>
      </c>
      <c r="AD76">
        <v>31</v>
      </c>
      <c r="AE76">
        <v>19</v>
      </c>
      <c r="AF76">
        <v>0</v>
      </c>
      <c r="AG76">
        <v>143</v>
      </c>
      <c r="AH76">
        <v>7</v>
      </c>
      <c r="AI76">
        <v>0</v>
      </c>
      <c r="AJ76">
        <v>0</v>
      </c>
      <c r="AK76">
        <v>1</v>
      </c>
      <c r="AL76">
        <v>4</v>
      </c>
      <c r="AM76">
        <v>8</v>
      </c>
      <c r="AN76">
        <v>17</v>
      </c>
      <c r="AO76">
        <v>31</v>
      </c>
      <c r="AP76">
        <v>10</v>
      </c>
      <c r="AQ76">
        <v>3</v>
      </c>
      <c r="AR76">
        <v>33</v>
      </c>
      <c r="AS76">
        <v>38</v>
      </c>
      <c r="AT76">
        <v>19</v>
      </c>
      <c r="AU76">
        <v>251</v>
      </c>
      <c r="AV76">
        <v>186</v>
      </c>
      <c r="AW76">
        <v>3</v>
      </c>
      <c r="AX76">
        <v>9</v>
      </c>
      <c r="AY76">
        <v>9</v>
      </c>
      <c r="AZ76">
        <v>1</v>
      </c>
      <c r="BA76">
        <v>1</v>
      </c>
      <c r="BB76">
        <v>4</v>
      </c>
      <c r="BC76">
        <v>0</v>
      </c>
      <c r="BD76">
        <v>13</v>
      </c>
      <c r="BE76">
        <v>6</v>
      </c>
      <c r="BF76" s="8">
        <f t="shared" si="1"/>
        <v>7981</v>
      </c>
      <c r="BG76" s="8">
        <f t="shared" si="2"/>
        <v>200</v>
      </c>
      <c r="BH76" s="8">
        <f t="shared" si="3"/>
        <v>13</v>
      </c>
      <c r="BI76" s="8">
        <f t="shared" si="4"/>
        <v>0</v>
      </c>
      <c r="BJ76" s="8">
        <f t="shared" si="6"/>
        <v>230</v>
      </c>
      <c r="BK76">
        <v>676</v>
      </c>
      <c r="BL76">
        <v>228</v>
      </c>
      <c r="BM76">
        <v>10148</v>
      </c>
      <c r="BN76">
        <v>3114</v>
      </c>
      <c r="BO76">
        <v>142</v>
      </c>
      <c r="BP76">
        <v>439</v>
      </c>
      <c r="BQ76" s="8">
        <f t="shared" si="9"/>
        <v>649</v>
      </c>
      <c r="BR76" s="8">
        <f t="shared" si="5"/>
        <v>257</v>
      </c>
      <c r="BS76">
        <v>220</v>
      </c>
      <c r="BT76">
        <v>159</v>
      </c>
      <c r="BU76">
        <v>58</v>
      </c>
      <c r="BV76">
        <v>94</v>
      </c>
      <c r="BW76">
        <v>118</v>
      </c>
    </row>
    <row r="77" spans="1:75" s="17" customFormat="1" x14ac:dyDescent="0.25">
      <c r="A77" s="15">
        <v>45017</v>
      </c>
      <c r="B77" s="16" t="s">
        <v>79</v>
      </c>
      <c r="C77" s="17">
        <v>1</v>
      </c>
      <c r="D77" s="14" t="s">
        <v>93</v>
      </c>
      <c r="E77" s="17">
        <v>1439</v>
      </c>
      <c r="F77" s="17">
        <v>833</v>
      </c>
      <c r="G77" s="17">
        <v>4812</v>
      </c>
      <c r="H77" s="17">
        <v>818</v>
      </c>
      <c r="I77" s="17">
        <v>4163</v>
      </c>
      <c r="J77" s="17">
        <v>3739</v>
      </c>
      <c r="K77" s="17">
        <v>931</v>
      </c>
      <c r="L77" s="17">
        <v>6818</v>
      </c>
      <c r="M77" s="17">
        <v>1084</v>
      </c>
      <c r="N77" s="17">
        <v>7718</v>
      </c>
      <c r="O77" s="17">
        <v>184</v>
      </c>
      <c r="P77" s="17">
        <v>5992</v>
      </c>
      <c r="Q77" s="17">
        <v>5148</v>
      </c>
      <c r="R77" s="17">
        <v>44</v>
      </c>
      <c r="S77" s="17">
        <v>0</v>
      </c>
      <c r="T77" s="17">
        <v>313</v>
      </c>
      <c r="U77" s="17">
        <v>6765</v>
      </c>
      <c r="V77" s="17">
        <v>1316</v>
      </c>
      <c r="W77" s="17">
        <v>19</v>
      </c>
      <c r="X77" s="17">
        <v>1</v>
      </c>
      <c r="Y77" s="17">
        <v>18</v>
      </c>
      <c r="Z77" s="17">
        <v>21498</v>
      </c>
      <c r="AA77" s="17">
        <v>11883</v>
      </c>
      <c r="AB77" s="17">
        <v>8396</v>
      </c>
      <c r="AC77" s="17">
        <v>113</v>
      </c>
      <c r="AD77" s="17">
        <v>31</v>
      </c>
      <c r="AE77" s="17">
        <v>17</v>
      </c>
      <c r="AF77" s="17">
        <v>2</v>
      </c>
      <c r="AG77" s="17">
        <v>151</v>
      </c>
      <c r="AH77" s="17">
        <v>6</v>
      </c>
      <c r="AI77" s="17">
        <v>0</v>
      </c>
      <c r="AJ77" s="17">
        <v>2</v>
      </c>
      <c r="AK77" s="17">
        <v>2</v>
      </c>
      <c r="AL77" s="17">
        <v>0</v>
      </c>
      <c r="AM77" s="17">
        <v>8</v>
      </c>
      <c r="AN77" s="17">
        <v>13</v>
      </c>
      <c r="AO77" s="17">
        <v>27</v>
      </c>
      <c r="AP77" s="17">
        <v>7</v>
      </c>
      <c r="AQ77" s="17">
        <v>3</v>
      </c>
      <c r="AR77" s="17">
        <v>27</v>
      </c>
      <c r="AS77" s="17">
        <v>16</v>
      </c>
      <c r="AT77" s="17">
        <v>16</v>
      </c>
      <c r="AU77" s="17">
        <v>298</v>
      </c>
      <c r="AV77" s="17">
        <v>154</v>
      </c>
      <c r="AW77" s="17">
        <v>14</v>
      </c>
      <c r="AX77" s="17">
        <v>14</v>
      </c>
      <c r="AY77" s="17">
        <v>7</v>
      </c>
      <c r="AZ77" s="17">
        <v>3</v>
      </c>
      <c r="BA77" s="17">
        <v>2</v>
      </c>
      <c r="BB77" s="17">
        <v>10</v>
      </c>
      <c r="BC77" s="17">
        <v>0</v>
      </c>
      <c r="BD77" s="17">
        <v>20</v>
      </c>
      <c r="BE77" s="17">
        <v>2</v>
      </c>
      <c r="BF77" s="17">
        <f t="shared" si="1"/>
        <v>7902</v>
      </c>
      <c r="BG77" s="17">
        <f t="shared" si="2"/>
        <v>207</v>
      </c>
      <c r="BH77" s="17">
        <f t="shared" si="3"/>
        <v>12</v>
      </c>
      <c r="BI77" s="17">
        <f t="shared" si="4"/>
        <v>0</v>
      </c>
      <c r="BJ77" s="17">
        <f t="shared" si="6"/>
        <v>232</v>
      </c>
      <c r="BK77" s="17">
        <v>623</v>
      </c>
      <c r="BL77" s="17">
        <v>184</v>
      </c>
      <c r="BM77" s="17">
        <v>10479</v>
      </c>
      <c r="BN77" s="17">
        <v>3179</v>
      </c>
      <c r="BO77" s="17">
        <v>132</v>
      </c>
      <c r="BP77" s="17">
        <v>588</v>
      </c>
      <c r="BQ77" s="8">
        <f t="shared" si="9"/>
        <v>383</v>
      </c>
      <c r="BR77" s="8">
        <f t="shared" si="5"/>
        <v>251</v>
      </c>
      <c r="BS77" s="17">
        <v>191</v>
      </c>
      <c r="BT77" s="17">
        <v>52</v>
      </c>
      <c r="BU77" s="17">
        <v>91</v>
      </c>
      <c r="BV77" s="17">
        <v>20</v>
      </c>
      <c r="BW77" s="17">
        <v>29</v>
      </c>
    </row>
    <row r="78" spans="1:75" x14ac:dyDescent="0.25">
      <c r="A78" s="2">
        <v>45047</v>
      </c>
      <c r="B78" s="3" t="s">
        <v>80</v>
      </c>
      <c r="C78">
        <v>2</v>
      </c>
      <c r="D78" s="14" t="s">
        <v>93</v>
      </c>
      <c r="E78">
        <v>1697</v>
      </c>
      <c r="F78">
        <v>1032</v>
      </c>
      <c r="G78">
        <v>5682</v>
      </c>
      <c r="H78">
        <v>863</v>
      </c>
      <c r="I78">
        <v>4792</v>
      </c>
      <c r="J78">
        <v>4482</v>
      </c>
      <c r="K78">
        <v>811</v>
      </c>
      <c r="L78">
        <v>7857</v>
      </c>
      <c r="M78">
        <v>1417</v>
      </c>
      <c r="N78">
        <v>9069</v>
      </c>
      <c r="O78">
        <v>205</v>
      </c>
      <c r="P78">
        <v>6629</v>
      </c>
      <c r="Q78">
        <v>5280</v>
      </c>
      <c r="R78">
        <v>190</v>
      </c>
      <c r="S78">
        <v>0</v>
      </c>
      <c r="T78">
        <v>259</v>
      </c>
      <c r="U78">
        <v>7535</v>
      </c>
      <c r="V78">
        <v>1443</v>
      </c>
      <c r="W78">
        <v>16</v>
      </c>
      <c r="X78">
        <v>0</v>
      </c>
      <c r="Y78">
        <v>29</v>
      </c>
      <c r="Z78">
        <v>27706</v>
      </c>
      <c r="AA78">
        <v>13513</v>
      </c>
      <c r="AB78">
        <v>9312</v>
      </c>
      <c r="AC78">
        <v>113</v>
      </c>
      <c r="AD78">
        <v>28</v>
      </c>
      <c r="AE78">
        <v>17</v>
      </c>
      <c r="AF78">
        <v>0</v>
      </c>
      <c r="AG78">
        <v>171</v>
      </c>
      <c r="AH78">
        <v>6</v>
      </c>
      <c r="AI78">
        <v>0</v>
      </c>
      <c r="AJ78">
        <v>8</v>
      </c>
      <c r="AK78">
        <v>1</v>
      </c>
      <c r="AL78">
        <v>0</v>
      </c>
      <c r="AM78">
        <v>16</v>
      </c>
      <c r="AN78">
        <v>14</v>
      </c>
      <c r="AO78">
        <v>27</v>
      </c>
      <c r="AP78">
        <v>2</v>
      </c>
      <c r="AQ78">
        <v>2</v>
      </c>
      <c r="AR78">
        <v>44</v>
      </c>
      <c r="AS78">
        <v>25</v>
      </c>
      <c r="AT78">
        <v>22</v>
      </c>
      <c r="AU78">
        <v>318</v>
      </c>
      <c r="AV78">
        <v>136</v>
      </c>
      <c r="AW78">
        <v>3</v>
      </c>
      <c r="AX78">
        <v>7</v>
      </c>
      <c r="AY78">
        <v>4</v>
      </c>
      <c r="AZ78">
        <v>1</v>
      </c>
      <c r="BA78">
        <v>1</v>
      </c>
      <c r="BB78">
        <v>12</v>
      </c>
      <c r="BC78">
        <v>1</v>
      </c>
      <c r="BD78">
        <v>41</v>
      </c>
      <c r="BE78">
        <v>6</v>
      </c>
      <c r="BF78" s="8">
        <f t="shared" si="1"/>
        <v>9274</v>
      </c>
      <c r="BG78" s="8">
        <f t="shared" si="2"/>
        <v>222</v>
      </c>
      <c r="BH78" s="8">
        <f t="shared" si="3"/>
        <v>25</v>
      </c>
      <c r="BI78" s="8">
        <f t="shared" si="4"/>
        <v>0</v>
      </c>
      <c r="BJ78" s="8">
        <f t="shared" si="6"/>
        <v>261</v>
      </c>
      <c r="BK78">
        <v>645</v>
      </c>
      <c r="BL78">
        <v>233</v>
      </c>
      <c r="BM78">
        <v>7858</v>
      </c>
      <c r="BN78">
        <v>3610</v>
      </c>
      <c r="BO78">
        <v>111</v>
      </c>
      <c r="BP78">
        <v>590</v>
      </c>
      <c r="BQ78" s="8">
        <f t="shared" si="9"/>
        <v>555</v>
      </c>
      <c r="BR78" s="8">
        <f t="shared" si="5"/>
        <v>233</v>
      </c>
      <c r="BS78">
        <v>262</v>
      </c>
      <c r="BT78">
        <v>60</v>
      </c>
      <c r="BU78">
        <v>169</v>
      </c>
      <c r="BV78">
        <v>42</v>
      </c>
      <c r="BW78">
        <v>22</v>
      </c>
    </row>
    <row r="79" spans="1:75" x14ac:dyDescent="0.25">
      <c r="A79" s="2">
        <v>45078</v>
      </c>
      <c r="B79" s="3" t="s">
        <v>81</v>
      </c>
      <c r="C79">
        <v>2</v>
      </c>
      <c r="D79" s="14" t="s">
        <v>93</v>
      </c>
      <c r="E79">
        <v>1509</v>
      </c>
      <c r="F79">
        <v>949</v>
      </c>
      <c r="G79">
        <v>5329</v>
      </c>
      <c r="H79">
        <v>819</v>
      </c>
      <c r="I79">
        <v>4488</v>
      </c>
      <c r="J79">
        <v>4118</v>
      </c>
      <c r="K79">
        <v>819</v>
      </c>
      <c r="L79">
        <v>6893</v>
      </c>
      <c r="M79">
        <v>1713</v>
      </c>
      <c r="N79">
        <v>8375</v>
      </c>
      <c r="O79">
        <v>231</v>
      </c>
      <c r="P79">
        <v>5871</v>
      </c>
      <c r="Q79">
        <v>4628</v>
      </c>
      <c r="R79">
        <v>315</v>
      </c>
      <c r="S79">
        <v>0</v>
      </c>
      <c r="T79">
        <v>334</v>
      </c>
      <c r="U79">
        <v>6450</v>
      </c>
      <c r="V79">
        <v>1325</v>
      </c>
      <c r="W79">
        <v>16</v>
      </c>
      <c r="X79">
        <v>0</v>
      </c>
      <c r="Y79">
        <v>38</v>
      </c>
      <c r="Z79">
        <v>23171</v>
      </c>
      <c r="AA79">
        <v>12603</v>
      </c>
      <c r="AB79">
        <v>8876</v>
      </c>
      <c r="AC79">
        <v>69</v>
      </c>
      <c r="AD79">
        <v>39</v>
      </c>
      <c r="AE79">
        <v>25</v>
      </c>
      <c r="AF79">
        <v>0</v>
      </c>
      <c r="AG79">
        <v>187</v>
      </c>
      <c r="AH79">
        <v>7</v>
      </c>
      <c r="AI79">
        <v>0</v>
      </c>
      <c r="AJ79">
        <v>0</v>
      </c>
      <c r="AK79">
        <v>4</v>
      </c>
      <c r="AL79">
        <v>0</v>
      </c>
      <c r="AM79">
        <v>7</v>
      </c>
      <c r="AN79">
        <v>16</v>
      </c>
      <c r="AO79">
        <v>31</v>
      </c>
      <c r="AP79">
        <v>3</v>
      </c>
      <c r="AQ79">
        <v>1</v>
      </c>
      <c r="AR79">
        <v>27</v>
      </c>
      <c r="AS79">
        <v>16</v>
      </c>
      <c r="AT79">
        <v>25</v>
      </c>
      <c r="AU79">
        <v>288</v>
      </c>
      <c r="AV79">
        <v>136</v>
      </c>
      <c r="AW79">
        <v>3</v>
      </c>
      <c r="AX79">
        <v>11</v>
      </c>
      <c r="AY79">
        <v>4</v>
      </c>
      <c r="AZ79">
        <v>1</v>
      </c>
      <c r="BA79">
        <v>4</v>
      </c>
      <c r="BB79">
        <v>5</v>
      </c>
      <c r="BC79">
        <v>1</v>
      </c>
      <c r="BD79">
        <v>26</v>
      </c>
      <c r="BE79">
        <v>3</v>
      </c>
      <c r="BF79" s="8">
        <f t="shared" si="1"/>
        <v>8606</v>
      </c>
      <c r="BG79" s="8">
        <f t="shared" si="2"/>
        <v>258</v>
      </c>
      <c r="BH79" s="8">
        <f t="shared" si="3"/>
        <v>11</v>
      </c>
      <c r="BI79" s="8">
        <f t="shared" si="4"/>
        <v>0</v>
      </c>
      <c r="BJ79" s="8">
        <f t="shared" si="6"/>
        <v>285</v>
      </c>
      <c r="BK79">
        <v>642</v>
      </c>
      <c r="BL79">
        <v>224</v>
      </c>
      <c r="BM79">
        <v>9561</v>
      </c>
      <c r="BN79">
        <v>3374</v>
      </c>
      <c r="BO79">
        <v>142</v>
      </c>
      <c r="BP79">
        <v>543</v>
      </c>
      <c r="BQ79" s="8">
        <f t="shared" si="9"/>
        <v>396</v>
      </c>
      <c r="BR79" s="8">
        <f t="shared" si="5"/>
        <v>222</v>
      </c>
      <c r="BS79">
        <v>204</v>
      </c>
      <c r="BT79">
        <v>38</v>
      </c>
      <c r="BU79">
        <v>110</v>
      </c>
      <c r="BV79">
        <v>11</v>
      </c>
      <c r="BW79">
        <v>33</v>
      </c>
    </row>
    <row r="80" spans="1:75" x14ac:dyDescent="0.25">
      <c r="A80" s="2">
        <v>45108</v>
      </c>
      <c r="B80" s="3" t="s">
        <v>82</v>
      </c>
      <c r="C80">
        <v>2</v>
      </c>
      <c r="D80" s="14" t="s">
        <v>93</v>
      </c>
      <c r="E80">
        <v>1802</v>
      </c>
      <c r="F80">
        <v>713</v>
      </c>
      <c r="G80">
        <v>4437</v>
      </c>
      <c r="H80">
        <v>776</v>
      </c>
      <c r="I80">
        <v>3658</v>
      </c>
      <c r="J80">
        <v>3309</v>
      </c>
      <c r="K80">
        <v>650</v>
      </c>
      <c r="L80">
        <v>5592</v>
      </c>
      <c r="M80">
        <v>1375</v>
      </c>
      <c r="N80">
        <v>6843</v>
      </c>
      <c r="O80">
        <v>124</v>
      </c>
      <c r="P80">
        <v>5254</v>
      </c>
      <c r="Q80">
        <v>4325</v>
      </c>
      <c r="R80">
        <v>14</v>
      </c>
      <c r="S80">
        <v>0</v>
      </c>
      <c r="T80">
        <v>234</v>
      </c>
      <c r="U80">
        <v>5818</v>
      </c>
      <c r="V80">
        <v>791</v>
      </c>
      <c r="W80">
        <v>12</v>
      </c>
      <c r="X80">
        <v>0</v>
      </c>
      <c r="Y80">
        <v>33</v>
      </c>
      <c r="Z80">
        <v>19831</v>
      </c>
      <c r="AA80">
        <v>11480</v>
      </c>
      <c r="AB80">
        <v>7934</v>
      </c>
      <c r="AC80">
        <v>96</v>
      </c>
      <c r="AD80">
        <v>29</v>
      </c>
      <c r="AE80">
        <v>16</v>
      </c>
      <c r="AF80">
        <v>0</v>
      </c>
      <c r="AG80">
        <v>132</v>
      </c>
      <c r="AH80">
        <v>15</v>
      </c>
      <c r="AI80">
        <v>0</v>
      </c>
      <c r="AJ80">
        <v>0</v>
      </c>
      <c r="AK80">
        <v>0</v>
      </c>
      <c r="AL80">
        <v>0</v>
      </c>
      <c r="AM80">
        <v>6</v>
      </c>
      <c r="AN80">
        <v>15</v>
      </c>
      <c r="AO80">
        <v>24</v>
      </c>
      <c r="AP80">
        <v>8</v>
      </c>
      <c r="AQ80">
        <v>4</v>
      </c>
      <c r="AR80">
        <v>30</v>
      </c>
      <c r="AS80">
        <v>17</v>
      </c>
      <c r="AT80">
        <v>18</v>
      </c>
      <c r="AU80">
        <v>235</v>
      </c>
      <c r="AV80">
        <v>139</v>
      </c>
      <c r="AW80">
        <v>5</v>
      </c>
      <c r="AX80">
        <v>5</v>
      </c>
      <c r="AY80">
        <v>6</v>
      </c>
      <c r="AZ80">
        <v>2</v>
      </c>
      <c r="BA80">
        <v>0</v>
      </c>
      <c r="BB80">
        <v>4</v>
      </c>
      <c r="BC80">
        <v>0</v>
      </c>
      <c r="BD80">
        <v>24</v>
      </c>
      <c r="BE80">
        <v>3</v>
      </c>
      <c r="BF80" s="8">
        <f t="shared" si="1"/>
        <v>7728</v>
      </c>
      <c r="BG80" s="8">
        <f t="shared" si="2"/>
        <v>192</v>
      </c>
      <c r="BH80" s="8">
        <f t="shared" si="3"/>
        <v>6</v>
      </c>
      <c r="BI80" s="8">
        <f t="shared" si="4"/>
        <v>0</v>
      </c>
      <c r="BJ80" s="8">
        <f t="shared" si="6"/>
        <v>213</v>
      </c>
      <c r="BK80">
        <v>651</v>
      </c>
      <c r="BL80">
        <v>199</v>
      </c>
      <c r="BM80">
        <v>8424</v>
      </c>
      <c r="BN80">
        <v>2998</v>
      </c>
      <c r="BO80">
        <v>168</v>
      </c>
      <c r="BP80">
        <v>554</v>
      </c>
      <c r="BQ80" s="8">
        <f t="shared" si="9"/>
        <v>498</v>
      </c>
      <c r="BR80" s="8">
        <f t="shared" si="5"/>
        <v>209</v>
      </c>
      <c r="BS80">
        <v>217</v>
      </c>
      <c r="BT80">
        <v>49</v>
      </c>
      <c r="BU80">
        <v>178</v>
      </c>
      <c r="BV80">
        <v>9</v>
      </c>
      <c r="BW80">
        <v>45</v>
      </c>
    </row>
    <row r="81" spans="1:75" x14ac:dyDescent="0.25">
      <c r="A81" s="2">
        <v>45139</v>
      </c>
      <c r="B81" s="3" t="s">
        <v>83</v>
      </c>
      <c r="C81">
        <v>2</v>
      </c>
      <c r="D81" s="14" t="s">
        <v>93</v>
      </c>
      <c r="E81">
        <v>1197</v>
      </c>
      <c r="F81">
        <v>911</v>
      </c>
      <c r="G81">
        <v>5046</v>
      </c>
      <c r="H81">
        <v>875</v>
      </c>
      <c r="I81">
        <v>4154</v>
      </c>
      <c r="J81">
        <v>3875</v>
      </c>
      <c r="K81">
        <v>611</v>
      </c>
      <c r="L81">
        <v>6343</v>
      </c>
      <c r="M81">
        <v>1686</v>
      </c>
      <c r="N81">
        <v>7879</v>
      </c>
      <c r="O81">
        <v>150</v>
      </c>
      <c r="P81">
        <v>5867</v>
      </c>
      <c r="Q81">
        <v>4073</v>
      </c>
      <c r="R81">
        <v>14</v>
      </c>
      <c r="S81">
        <v>24</v>
      </c>
      <c r="T81">
        <v>319</v>
      </c>
      <c r="U81">
        <v>6146</v>
      </c>
      <c r="V81">
        <v>995</v>
      </c>
      <c r="W81">
        <v>20</v>
      </c>
      <c r="X81">
        <v>0</v>
      </c>
      <c r="Y81">
        <v>15</v>
      </c>
      <c r="Z81">
        <v>28138</v>
      </c>
      <c r="AA81">
        <v>12153</v>
      </c>
      <c r="AB81">
        <v>8281</v>
      </c>
      <c r="AC81">
        <v>117</v>
      </c>
      <c r="AD81">
        <v>52</v>
      </c>
      <c r="AE81">
        <v>16</v>
      </c>
      <c r="AF81">
        <v>0</v>
      </c>
      <c r="AG81">
        <v>219</v>
      </c>
      <c r="AH81">
        <v>4</v>
      </c>
      <c r="AI81">
        <v>1</v>
      </c>
      <c r="AJ81">
        <v>10</v>
      </c>
      <c r="AK81">
        <v>0</v>
      </c>
      <c r="AL81">
        <v>0</v>
      </c>
      <c r="AM81">
        <v>13</v>
      </c>
      <c r="AN81">
        <v>15</v>
      </c>
      <c r="AO81">
        <v>27</v>
      </c>
      <c r="AP81">
        <v>8</v>
      </c>
      <c r="AQ81">
        <v>1</v>
      </c>
      <c r="AR81">
        <v>41</v>
      </c>
      <c r="AS81">
        <v>13</v>
      </c>
      <c r="AT81">
        <v>16</v>
      </c>
      <c r="AU81">
        <v>381</v>
      </c>
      <c r="AV81">
        <v>170</v>
      </c>
      <c r="AW81">
        <v>13</v>
      </c>
      <c r="AX81">
        <v>7</v>
      </c>
      <c r="AY81">
        <v>11</v>
      </c>
      <c r="AZ81">
        <v>1</v>
      </c>
      <c r="BA81">
        <v>5</v>
      </c>
      <c r="BB81">
        <v>7</v>
      </c>
      <c r="BC81">
        <v>1</v>
      </c>
      <c r="BD81">
        <v>33</v>
      </c>
      <c r="BE81">
        <v>5</v>
      </c>
      <c r="BF81" s="8">
        <f t="shared" si="1"/>
        <v>8029</v>
      </c>
      <c r="BG81" s="8">
        <f t="shared" si="2"/>
        <v>291</v>
      </c>
      <c r="BH81" s="8">
        <f t="shared" si="3"/>
        <v>23</v>
      </c>
      <c r="BI81" s="8">
        <f t="shared" si="4"/>
        <v>1</v>
      </c>
      <c r="BJ81" s="8">
        <f t="shared" si="6"/>
        <v>330</v>
      </c>
      <c r="BK81">
        <v>699</v>
      </c>
      <c r="BL81">
        <v>206</v>
      </c>
      <c r="BM81">
        <v>9289</v>
      </c>
      <c r="BN81">
        <v>3359</v>
      </c>
      <c r="BO81">
        <v>150</v>
      </c>
      <c r="BP81">
        <v>603</v>
      </c>
      <c r="BQ81" s="8">
        <f t="shared" si="9"/>
        <v>531</v>
      </c>
      <c r="BR81" s="8">
        <f t="shared" si="5"/>
        <v>275</v>
      </c>
      <c r="BS81">
        <v>243</v>
      </c>
      <c r="BT81">
        <v>88</v>
      </c>
      <c r="BU81">
        <v>154</v>
      </c>
      <c r="BV81">
        <v>15</v>
      </c>
      <c r="BW81">
        <v>31</v>
      </c>
    </row>
    <row r="82" spans="1:75" x14ac:dyDescent="0.25">
      <c r="A82" s="2">
        <v>45170</v>
      </c>
      <c r="B82" s="3" t="s">
        <v>84</v>
      </c>
      <c r="C82">
        <v>3</v>
      </c>
      <c r="D82" s="14" t="s">
        <v>93</v>
      </c>
      <c r="E82" s="18">
        <v>1255</v>
      </c>
      <c r="F82" s="18">
        <v>861</v>
      </c>
      <c r="G82" s="18">
        <v>5232</v>
      </c>
      <c r="H82" s="18">
        <v>877</v>
      </c>
      <c r="I82" s="18">
        <v>4154</v>
      </c>
      <c r="J82" s="18">
        <v>4071</v>
      </c>
      <c r="K82" s="18">
        <v>769</v>
      </c>
      <c r="L82" s="18">
        <v>6684</v>
      </c>
      <c r="M82" s="18">
        <v>1541</v>
      </c>
      <c r="N82" s="18">
        <v>7703</v>
      </c>
      <c r="O82" s="18">
        <v>522</v>
      </c>
      <c r="P82" s="18">
        <v>5488</v>
      </c>
      <c r="Q82" s="18">
        <v>5175</v>
      </c>
      <c r="R82" s="18">
        <v>658</v>
      </c>
      <c r="S82" s="18">
        <v>28</v>
      </c>
      <c r="T82" s="18">
        <v>403</v>
      </c>
      <c r="U82" s="18">
        <v>6141</v>
      </c>
      <c r="V82" s="18">
        <v>989</v>
      </c>
      <c r="W82" s="18">
        <v>21</v>
      </c>
      <c r="X82" s="18">
        <v>2</v>
      </c>
      <c r="Y82" s="18">
        <v>20</v>
      </c>
      <c r="Z82" s="18">
        <v>25233</v>
      </c>
      <c r="AA82" s="18">
        <v>11754</v>
      </c>
      <c r="AB82" s="18">
        <v>7971</v>
      </c>
      <c r="AC82" s="18">
        <v>135</v>
      </c>
      <c r="AD82" s="18">
        <v>51</v>
      </c>
      <c r="AE82" s="18">
        <v>27</v>
      </c>
      <c r="AF82" s="18">
        <v>13</v>
      </c>
      <c r="AG82" s="18">
        <v>204</v>
      </c>
      <c r="AH82" s="18">
        <v>11</v>
      </c>
      <c r="AI82" s="18">
        <v>2</v>
      </c>
      <c r="AJ82" s="18">
        <v>5</v>
      </c>
      <c r="AK82" s="18">
        <v>7</v>
      </c>
      <c r="AL82" s="18">
        <v>0</v>
      </c>
      <c r="AM82" s="18">
        <v>15</v>
      </c>
      <c r="AN82" s="18">
        <v>17</v>
      </c>
      <c r="AO82" s="18">
        <v>37</v>
      </c>
      <c r="AP82" s="18">
        <v>5</v>
      </c>
      <c r="AQ82" s="18">
        <v>2</v>
      </c>
      <c r="AR82" s="18">
        <v>41</v>
      </c>
      <c r="AS82" s="18">
        <v>24</v>
      </c>
      <c r="AT82" s="18">
        <v>15</v>
      </c>
      <c r="AU82" s="18">
        <v>401</v>
      </c>
      <c r="AV82" s="18">
        <v>166</v>
      </c>
      <c r="AW82" s="18">
        <v>14</v>
      </c>
      <c r="AX82" s="18">
        <v>8</v>
      </c>
      <c r="AY82" s="18">
        <v>12</v>
      </c>
      <c r="AZ82" s="18">
        <v>3</v>
      </c>
      <c r="BA82" s="18">
        <v>3</v>
      </c>
      <c r="BB82" s="18">
        <v>8</v>
      </c>
      <c r="BC82" s="18">
        <v>0</v>
      </c>
      <c r="BD82" s="18">
        <v>29</v>
      </c>
      <c r="BE82" s="18">
        <v>1</v>
      </c>
      <c r="BF82" s="8">
        <f t="shared" si="1"/>
        <v>8225</v>
      </c>
      <c r="BG82" s="8">
        <f t="shared" si="2"/>
        <v>306</v>
      </c>
      <c r="BH82" s="8">
        <f t="shared" si="3"/>
        <v>27</v>
      </c>
      <c r="BI82" s="8">
        <f t="shared" si="4"/>
        <v>2</v>
      </c>
      <c r="BJ82" s="8">
        <f t="shared" si="6"/>
        <v>352</v>
      </c>
      <c r="BK82">
        <v>716</v>
      </c>
      <c r="BL82">
        <v>276</v>
      </c>
      <c r="BM82">
        <v>9655</v>
      </c>
      <c r="BN82">
        <v>4236</v>
      </c>
      <c r="BO82">
        <v>130</v>
      </c>
      <c r="BP82">
        <v>611</v>
      </c>
      <c r="BQ82" s="8">
        <f t="shared" si="9"/>
        <v>620</v>
      </c>
      <c r="BR82" s="8">
        <f t="shared" si="5"/>
        <v>280</v>
      </c>
      <c r="BS82" s="18">
        <v>232</v>
      </c>
      <c r="BT82" s="18">
        <v>131</v>
      </c>
      <c r="BU82" s="18">
        <v>201</v>
      </c>
      <c r="BV82" s="18">
        <v>19</v>
      </c>
      <c r="BW82" s="18">
        <v>37</v>
      </c>
    </row>
    <row r="83" spans="1:75" x14ac:dyDescent="0.25">
      <c r="A83" s="2">
        <v>45200</v>
      </c>
      <c r="B83" s="3" t="s">
        <v>85</v>
      </c>
      <c r="C83">
        <v>3</v>
      </c>
      <c r="D83" s="14" t="s">
        <v>93</v>
      </c>
      <c r="E83" s="18">
        <v>1281</v>
      </c>
      <c r="F83" s="18">
        <v>876</v>
      </c>
      <c r="G83" s="18">
        <v>5384</v>
      </c>
      <c r="H83" s="18">
        <v>923</v>
      </c>
      <c r="I83" s="18">
        <v>4400</v>
      </c>
      <c r="J83" s="18">
        <v>4064</v>
      </c>
      <c r="K83" s="18">
        <v>685</v>
      </c>
      <c r="L83" s="18">
        <v>6605</v>
      </c>
      <c r="M83" s="18">
        <v>1859</v>
      </c>
      <c r="N83" s="18">
        <v>8104</v>
      </c>
      <c r="O83" s="18">
        <v>360</v>
      </c>
      <c r="P83" s="18">
        <v>5259</v>
      </c>
      <c r="Q83" s="18">
        <v>4109</v>
      </c>
      <c r="R83" s="18">
        <v>18</v>
      </c>
      <c r="S83" s="18">
        <v>0</v>
      </c>
      <c r="T83" s="18">
        <v>291</v>
      </c>
      <c r="U83" s="18">
        <v>5520</v>
      </c>
      <c r="V83" s="18">
        <v>1009</v>
      </c>
      <c r="W83" s="18">
        <v>14</v>
      </c>
      <c r="X83" s="18">
        <v>6</v>
      </c>
      <c r="Y83" s="18">
        <v>34</v>
      </c>
      <c r="Z83" s="18">
        <v>23693</v>
      </c>
      <c r="AA83" s="18">
        <v>12256</v>
      </c>
      <c r="AB83" s="18">
        <v>8059</v>
      </c>
      <c r="AC83" s="18">
        <v>103</v>
      </c>
      <c r="AD83" s="18">
        <v>42</v>
      </c>
      <c r="AE83" s="18">
        <v>22</v>
      </c>
      <c r="AF83" s="18">
        <v>2</v>
      </c>
      <c r="AG83" s="18">
        <v>270</v>
      </c>
      <c r="AH83" s="18">
        <v>8</v>
      </c>
      <c r="AI83" s="18">
        <v>0</v>
      </c>
      <c r="AJ83" s="18">
        <v>7</v>
      </c>
      <c r="AK83" s="18">
        <v>0</v>
      </c>
      <c r="AL83" s="18">
        <v>1</v>
      </c>
      <c r="AM83" s="18">
        <v>11</v>
      </c>
      <c r="AN83" s="18">
        <v>26</v>
      </c>
      <c r="AO83" s="18">
        <v>29</v>
      </c>
      <c r="AP83" s="18">
        <v>1</v>
      </c>
      <c r="AQ83" s="18">
        <v>0</v>
      </c>
      <c r="AR83" s="18">
        <v>25</v>
      </c>
      <c r="AS83" s="18">
        <v>13</v>
      </c>
      <c r="AT83" s="18">
        <v>9</v>
      </c>
      <c r="AU83" s="18">
        <v>271</v>
      </c>
      <c r="AV83" s="18">
        <v>139</v>
      </c>
      <c r="AW83" s="18">
        <v>7</v>
      </c>
      <c r="AX83" s="18">
        <v>2</v>
      </c>
      <c r="AY83" s="18">
        <v>3</v>
      </c>
      <c r="AZ83" s="18">
        <v>0</v>
      </c>
      <c r="BA83" s="18">
        <v>0</v>
      </c>
      <c r="BB83" s="18">
        <v>4</v>
      </c>
      <c r="BC83" s="18">
        <v>1</v>
      </c>
      <c r="BD83" s="18">
        <v>18</v>
      </c>
      <c r="BE83" s="18">
        <v>1</v>
      </c>
      <c r="BF83" s="8">
        <f t="shared" si="1"/>
        <v>8464</v>
      </c>
      <c r="BG83" s="8">
        <f t="shared" si="2"/>
        <v>344</v>
      </c>
      <c r="BH83" s="8">
        <f t="shared" si="3"/>
        <v>19</v>
      </c>
      <c r="BI83" s="8">
        <f t="shared" si="4"/>
        <v>0</v>
      </c>
      <c r="BJ83" s="8">
        <f t="shared" si="6"/>
        <v>389</v>
      </c>
      <c r="BK83">
        <v>826</v>
      </c>
      <c r="BL83">
        <v>261</v>
      </c>
      <c r="BM83">
        <v>10375</v>
      </c>
      <c r="BN83">
        <v>3889</v>
      </c>
      <c r="BO83">
        <v>142</v>
      </c>
      <c r="BP83">
        <v>649</v>
      </c>
      <c r="BQ83" s="8">
        <f>SUM(BS83:BW83)</f>
        <v>632</v>
      </c>
      <c r="BR83" s="8">
        <f t="shared" si="5"/>
        <v>203</v>
      </c>
      <c r="BS83" s="18">
        <v>255</v>
      </c>
      <c r="BT83" s="18">
        <v>128</v>
      </c>
      <c r="BU83" s="18">
        <v>219</v>
      </c>
      <c r="BV83" s="18">
        <v>12</v>
      </c>
      <c r="BW83" s="18">
        <v>18</v>
      </c>
    </row>
    <row r="84" spans="1:75" x14ac:dyDescent="0.25">
      <c r="A84" s="2">
        <v>45231</v>
      </c>
      <c r="B84" s="3" t="s">
        <v>86</v>
      </c>
      <c r="C84">
        <v>3</v>
      </c>
      <c r="D84" s="14" t="s">
        <v>93</v>
      </c>
      <c r="E84" s="18">
        <v>1113</v>
      </c>
      <c r="F84" s="18">
        <v>784</v>
      </c>
      <c r="G84" s="18">
        <v>4730</v>
      </c>
      <c r="H84" s="18">
        <v>766</v>
      </c>
      <c r="I84" s="18">
        <v>3778</v>
      </c>
      <c r="J84" s="18">
        <v>3615</v>
      </c>
      <c r="K84" s="18">
        <v>727</v>
      </c>
      <c r="L84" s="18">
        <v>5928</v>
      </c>
      <c r="M84" s="18">
        <v>1465</v>
      </c>
      <c r="N84" s="18">
        <v>7302</v>
      </c>
      <c r="O84" s="18">
        <v>91</v>
      </c>
      <c r="P84" s="18">
        <v>5255</v>
      </c>
      <c r="Q84" s="18">
        <v>4232</v>
      </c>
      <c r="R84" s="18">
        <v>413</v>
      </c>
      <c r="S84" s="18">
        <v>46</v>
      </c>
      <c r="T84" s="18">
        <v>307</v>
      </c>
      <c r="U84" s="18">
        <v>5564</v>
      </c>
      <c r="V84" s="18">
        <v>899</v>
      </c>
      <c r="W84" s="18">
        <v>5</v>
      </c>
      <c r="X84" s="18">
        <v>2</v>
      </c>
      <c r="Y84" s="18">
        <v>32</v>
      </c>
      <c r="Z84" s="18">
        <v>22364</v>
      </c>
      <c r="AA84" s="18">
        <v>11609</v>
      </c>
      <c r="AB84" s="18">
        <v>7670</v>
      </c>
      <c r="AC84" s="18">
        <v>113</v>
      </c>
      <c r="AD84" s="18">
        <v>39</v>
      </c>
      <c r="AE84" s="18">
        <v>29</v>
      </c>
      <c r="AF84" s="18">
        <v>2</v>
      </c>
      <c r="AG84" s="18">
        <v>171</v>
      </c>
      <c r="AH84" s="18">
        <v>13</v>
      </c>
      <c r="AI84" s="18">
        <v>0</v>
      </c>
      <c r="AJ84" s="18">
        <v>5</v>
      </c>
      <c r="AK84" s="18">
        <v>8</v>
      </c>
      <c r="AL84" s="18">
        <v>0</v>
      </c>
      <c r="AM84" s="18">
        <v>6</v>
      </c>
      <c r="AN84" s="18">
        <v>21</v>
      </c>
      <c r="AO84" s="18">
        <v>24</v>
      </c>
      <c r="AP84" s="18">
        <v>8</v>
      </c>
      <c r="AQ84" s="18">
        <v>2</v>
      </c>
      <c r="AR84" s="18">
        <v>45</v>
      </c>
      <c r="AS84" s="18">
        <v>9</v>
      </c>
      <c r="AT84" s="18">
        <v>16</v>
      </c>
      <c r="AU84" s="18">
        <v>372</v>
      </c>
      <c r="AV84" s="18">
        <v>162</v>
      </c>
      <c r="AW84" s="18">
        <v>5</v>
      </c>
      <c r="AX84" s="18">
        <v>5</v>
      </c>
      <c r="AY84" s="18">
        <v>6</v>
      </c>
      <c r="AZ84" s="18">
        <v>3</v>
      </c>
      <c r="BA84" s="18">
        <v>1</v>
      </c>
      <c r="BB84" s="18">
        <v>14</v>
      </c>
      <c r="BC84" s="18">
        <v>0</v>
      </c>
      <c r="BD84" s="18">
        <v>16</v>
      </c>
      <c r="BE84" s="18">
        <v>0</v>
      </c>
      <c r="BF84" s="8">
        <f t="shared" si="1"/>
        <v>7393</v>
      </c>
      <c r="BG84" s="8">
        <f t="shared" si="2"/>
        <v>254</v>
      </c>
      <c r="BH84" s="8">
        <f t="shared" si="3"/>
        <v>19</v>
      </c>
      <c r="BI84" s="8">
        <f t="shared" si="4"/>
        <v>0</v>
      </c>
      <c r="BJ84" s="8">
        <f t="shared" si="6"/>
        <v>294</v>
      </c>
      <c r="BK84">
        <v>821</v>
      </c>
      <c r="BL84">
        <v>288</v>
      </c>
      <c r="BM84">
        <v>9075</v>
      </c>
      <c r="BN84">
        <v>3132</v>
      </c>
      <c r="BO84">
        <v>164</v>
      </c>
      <c r="BP84">
        <v>609</v>
      </c>
      <c r="BQ84" s="8">
        <f>SUM(BS84:BW84)</f>
        <v>687</v>
      </c>
      <c r="BR84" s="8">
        <f t="shared" si="5"/>
        <v>236</v>
      </c>
      <c r="BS84">
        <v>211</v>
      </c>
      <c r="BT84">
        <v>168</v>
      </c>
      <c r="BU84">
        <v>256</v>
      </c>
      <c r="BV84">
        <v>15</v>
      </c>
      <c r="BW84">
        <v>37</v>
      </c>
    </row>
    <row r="85" spans="1:75" x14ac:dyDescent="0.25">
      <c r="A85" s="2">
        <v>45261</v>
      </c>
      <c r="B85" s="3" t="s">
        <v>87</v>
      </c>
      <c r="C85">
        <v>3</v>
      </c>
      <c r="D85" s="14" t="s">
        <v>93</v>
      </c>
      <c r="E85" s="18">
        <v>1124</v>
      </c>
      <c r="F85" s="18">
        <v>815</v>
      </c>
      <c r="G85" s="18">
        <v>5518</v>
      </c>
      <c r="H85" s="18">
        <v>888</v>
      </c>
      <c r="I85" s="18">
        <v>4204</v>
      </c>
      <c r="J85" s="18">
        <v>4141</v>
      </c>
      <c r="K85" s="18">
        <v>936</v>
      </c>
      <c r="L85" s="18">
        <v>6653</v>
      </c>
      <c r="M85" s="18">
        <v>1692</v>
      </c>
      <c r="N85" s="18">
        <v>8140</v>
      </c>
      <c r="O85" s="18">
        <v>205</v>
      </c>
      <c r="P85" s="18">
        <v>5748</v>
      </c>
      <c r="Q85" s="18">
        <v>4726</v>
      </c>
      <c r="R85" s="18">
        <v>388</v>
      </c>
      <c r="S85" s="18">
        <v>126</v>
      </c>
      <c r="T85" s="18">
        <v>404</v>
      </c>
      <c r="U85" s="18">
        <v>5825</v>
      </c>
      <c r="V85" s="18">
        <v>771</v>
      </c>
      <c r="W85" s="18">
        <v>18</v>
      </c>
      <c r="X85" s="18">
        <v>1</v>
      </c>
      <c r="Y85" s="18">
        <v>18</v>
      </c>
      <c r="Z85" s="18">
        <v>24108</v>
      </c>
      <c r="AA85" s="18">
        <v>13339</v>
      </c>
      <c r="AB85" s="18">
        <v>7854</v>
      </c>
      <c r="AC85" s="18">
        <v>74</v>
      </c>
      <c r="AD85" s="18">
        <v>43</v>
      </c>
      <c r="AE85" s="18">
        <v>26</v>
      </c>
      <c r="AF85" s="18">
        <v>2</v>
      </c>
      <c r="AG85" s="18">
        <v>197</v>
      </c>
      <c r="AH85" s="18">
        <v>18</v>
      </c>
      <c r="AI85" s="18">
        <v>0</v>
      </c>
      <c r="AJ85" s="18">
        <v>7</v>
      </c>
      <c r="AK85" s="18">
        <v>2</v>
      </c>
      <c r="AL85" s="18">
        <v>0</v>
      </c>
      <c r="AM85" s="18">
        <v>12</v>
      </c>
      <c r="AN85" s="18">
        <v>13</v>
      </c>
      <c r="AO85" s="18">
        <v>26</v>
      </c>
      <c r="AP85" s="18">
        <v>8</v>
      </c>
      <c r="AQ85" s="18">
        <v>5</v>
      </c>
      <c r="AR85" s="18">
        <v>29</v>
      </c>
      <c r="AS85" s="18">
        <v>14</v>
      </c>
      <c r="AT85" s="18">
        <v>23</v>
      </c>
      <c r="AU85" s="18">
        <v>343</v>
      </c>
      <c r="AV85" s="18">
        <v>149</v>
      </c>
      <c r="AW85" s="18">
        <v>8</v>
      </c>
      <c r="AX85" s="18">
        <v>12</v>
      </c>
      <c r="AY85" s="18">
        <v>5</v>
      </c>
      <c r="AZ85" s="18">
        <v>0</v>
      </c>
      <c r="BA85" s="18">
        <v>2</v>
      </c>
      <c r="BB85" s="18">
        <v>4</v>
      </c>
      <c r="BC85" s="18">
        <v>1</v>
      </c>
      <c r="BD85" s="18">
        <v>16</v>
      </c>
      <c r="BE85" s="18">
        <v>1</v>
      </c>
      <c r="BF85" s="8">
        <f t="shared" si="1"/>
        <v>8345</v>
      </c>
      <c r="BG85" s="8">
        <f t="shared" si="2"/>
        <v>286</v>
      </c>
      <c r="BH85" s="8">
        <f t="shared" si="3"/>
        <v>21</v>
      </c>
      <c r="BI85" s="8">
        <f t="shared" si="4"/>
        <v>0</v>
      </c>
      <c r="BJ85" s="8">
        <f t="shared" si="6"/>
        <v>320</v>
      </c>
      <c r="BK85">
        <v>788</v>
      </c>
      <c r="BL85">
        <v>210</v>
      </c>
      <c r="BM85" s="18">
        <v>9655</v>
      </c>
      <c r="BN85">
        <v>3351</v>
      </c>
      <c r="BO85">
        <v>141</v>
      </c>
      <c r="BP85">
        <v>549</v>
      </c>
      <c r="BQ85" s="8">
        <f t="shared" si="9"/>
        <v>897</v>
      </c>
      <c r="BR85" s="8">
        <f t="shared" si="5"/>
        <v>223</v>
      </c>
      <c r="BS85">
        <v>301</v>
      </c>
      <c r="BT85">
        <v>207</v>
      </c>
      <c r="BU85">
        <v>345</v>
      </c>
      <c r="BV85">
        <v>23</v>
      </c>
      <c r="BW85">
        <v>21</v>
      </c>
    </row>
    <row r="86" spans="1:75" x14ac:dyDescent="0.25">
      <c r="A86" s="2">
        <v>45292</v>
      </c>
      <c r="B86" s="11" t="s">
        <v>75</v>
      </c>
      <c r="C86" s="12">
        <v>1</v>
      </c>
      <c r="D86" s="19" t="s">
        <v>94</v>
      </c>
      <c r="E86">
        <v>1171</v>
      </c>
      <c r="F86">
        <v>937</v>
      </c>
      <c r="G86">
        <v>5521</v>
      </c>
      <c r="H86">
        <v>900</v>
      </c>
      <c r="I86">
        <v>4575</v>
      </c>
      <c r="J86">
        <v>3954</v>
      </c>
      <c r="K86">
        <v>746</v>
      </c>
      <c r="L86">
        <v>4389</v>
      </c>
      <c r="M86">
        <v>4140</v>
      </c>
      <c r="N86">
        <v>4785</v>
      </c>
      <c r="O86">
        <v>374</v>
      </c>
      <c r="P86">
        <v>4821</v>
      </c>
      <c r="Q86">
        <v>4282</v>
      </c>
      <c r="R86">
        <v>35</v>
      </c>
      <c r="S86">
        <v>0</v>
      </c>
      <c r="T86">
        <v>228</v>
      </c>
      <c r="U86">
        <v>5092</v>
      </c>
      <c r="V86">
        <v>807</v>
      </c>
      <c r="W86">
        <v>11</v>
      </c>
      <c r="X86">
        <v>0</v>
      </c>
      <c r="Y86">
        <v>28</v>
      </c>
      <c r="Z86">
        <v>24956</v>
      </c>
      <c r="AA86">
        <v>12432</v>
      </c>
      <c r="AB86">
        <v>8648</v>
      </c>
      <c r="AC86">
        <v>53</v>
      </c>
      <c r="AD86">
        <v>38</v>
      </c>
      <c r="AE86">
        <v>22</v>
      </c>
      <c r="AF86">
        <v>0</v>
      </c>
      <c r="AG86">
        <v>137</v>
      </c>
      <c r="AH86">
        <v>21</v>
      </c>
      <c r="AI86">
        <v>0</v>
      </c>
      <c r="AJ86">
        <v>3</v>
      </c>
      <c r="AK86">
        <v>0</v>
      </c>
      <c r="AL86">
        <v>0</v>
      </c>
      <c r="AM86">
        <v>4</v>
      </c>
      <c r="AN86">
        <v>16</v>
      </c>
      <c r="AO86">
        <v>20</v>
      </c>
      <c r="AP86">
        <v>5</v>
      </c>
      <c r="AQ86">
        <v>4</v>
      </c>
      <c r="AR86">
        <v>19</v>
      </c>
      <c r="AS86">
        <v>12</v>
      </c>
      <c r="AT86">
        <v>18</v>
      </c>
      <c r="AU86">
        <v>244</v>
      </c>
      <c r="AV86">
        <v>138</v>
      </c>
      <c r="AW86">
        <v>6</v>
      </c>
      <c r="AX86">
        <v>4</v>
      </c>
      <c r="AY86">
        <v>4</v>
      </c>
      <c r="AZ86">
        <v>1</v>
      </c>
      <c r="BA86">
        <v>0</v>
      </c>
      <c r="BB86">
        <v>5</v>
      </c>
      <c r="BC86">
        <v>0</v>
      </c>
      <c r="BD86">
        <v>19</v>
      </c>
      <c r="BE86">
        <v>3</v>
      </c>
      <c r="BF86" s="8">
        <f t="shared" si="1"/>
        <v>8529</v>
      </c>
      <c r="BG86" s="8">
        <f t="shared" si="2"/>
        <v>218</v>
      </c>
      <c r="BH86" s="8">
        <f t="shared" si="3"/>
        <v>7</v>
      </c>
      <c r="BI86" s="8">
        <f t="shared" si="4"/>
        <v>0</v>
      </c>
      <c r="BJ86" s="8">
        <f t="shared" si="6"/>
        <v>241</v>
      </c>
      <c r="BK86">
        <v>651</v>
      </c>
      <c r="BL86">
        <v>198</v>
      </c>
      <c r="BM86">
        <v>8763</v>
      </c>
      <c r="BN86">
        <v>3025</v>
      </c>
      <c r="BO86">
        <v>143</v>
      </c>
      <c r="BP86">
        <v>788</v>
      </c>
      <c r="BQ86" s="8">
        <f t="shared" si="9"/>
        <v>951</v>
      </c>
      <c r="BR86" s="8">
        <f t="shared" si="5"/>
        <v>197</v>
      </c>
      <c r="BS86">
        <v>315</v>
      </c>
      <c r="BT86">
        <v>223</v>
      </c>
      <c r="BU86">
        <v>359</v>
      </c>
      <c r="BV86">
        <v>29</v>
      </c>
      <c r="BW86">
        <v>25</v>
      </c>
    </row>
    <row r="87" spans="1:75" x14ac:dyDescent="0.25">
      <c r="A87" s="2">
        <v>45323</v>
      </c>
      <c r="B87" s="11" t="s">
        <v>77</v>
      </c>
      <c r="C87" s="12">
        <v>1</v>
      </c>
      <c r="D87" s="19" t="s">
        <v>94</v>
      </c>
      <c r="E87">
        <v>1094</v>
      </c>
      <c r="F87">
        <v>886</v>
      </c>
      <c r="G87">
        <v>5240</v>
      </c>
      <c r="H87">
        <v>821</v>
      </c>
      <c r="I87">
        <v>4373</v>
      </c>
      <c r="J87">
        <v>3668</v>
      </c>
      <c r="K87">
        <v>665</v>
      </c>
      <c r="L87">
        <v>6858</v>
      </c>
      <c r="M87">
        <v>1183</v>
      </c>
      <c r="N87">
        <v>7862</v>
      </c>
      <c r="O87">
        <v>179</v>
      </c>
      <c r="P87">
        <v>4844</v>
      </c>
      <c r="Q87">
        <v>4191</v>
      </c>
      <c r="R87">
        <v>81</v>
      </c>
      <c r="S87">
        <v>0</v>
      </c>
      <c r="T87">
        <v>185</v>
      </c>
      <c r="U87">
        <v>5072</v>
      </c>
      <c r="V87">
        <v>805</v>
      </c>
      <c r="W87">
        <v>10</v>
      </c>
      <c r="X87">
        <v>0</v>
      </c>
      <c r="Y87">
        <v>12</v>
      </c>
      <c r="Z87">
        <v>21858</v>
      </c>
      <c r="AA87">
        <v>11276</v>
      </c>
      <c r="AB87">
        <v>7726</v>
      </c>
      <c r="AC87">
        <v>45</v>
      </c>
      <c r="AD87">
        <v>33</v>
      </c>
      <c r="AE87">
        <v>22</v>
      </c>
      <c r="AF87">
        <v>0</v>
      </c>
      <c r="AG87">
        <v>152</v>
      </c>
      <c r="AH87">
        <v>8</v>
      </c>
      <c r="AI87">
        <v>0</v>
      </c>
      <c r="AJ87">
        <v>4</v>
      </c>
      <c r="AK87">
        <v>0</v>
      </c>
      <c r="AL87">
        <v>0</v>
      </c>
      <c r="AM87">
        <v>4</v>
      </c>
      <c r="AN87">
        <v>19</v>
      </c>
      <c r="AO87">
        <v>19</v>
      </c>
      <c r="AP87">
        <v>7</v>
      </c>
      <c r="AQ87">
        <v>1</v>
      </c>
      <c r="AR87">
        <v>29</v>
      </c>
      <c r="AS87">
        <v>5</v>
      </c>
      <c r="AT87">
        <v>17</v>
      </c>
      <c r="AU87">
        <v>218</v>
      </c>
      <c r="AV87">
        <v>117</v>
      </c>
      <c r="AW87">
        <v>6</v>
      </c>
      <c r="AX87">
        <v>1</v>
      </c>
      <c r="AY87">
        <v>2</v>
      </c>
      <c r="AZ87">
        <v>1</v>
      </c>
      <c r="BA87">
        <v>0</v>
      </c>
      <c r="BB87">
        <v>0</v>
      </c>
      <c r="BC87">
        <v>0</v>
      </c>
      <c r="BD87">
        <v>7</v>
      </c>
      <c r="BE87">
        <v>3</v>
      </c>
      <c r="BF87" s="8">
        <f t="shared" si="1"/>
        <v>8041</v>
      </c>
      <c r="BG87" s="8">
        <f t="shared" si="2"/>
        <v>215</v>
      </c>
      <c r="BH87" s="8">
        <f t="shared" si="3"/>
        <v>8</v>
      </c>
      <c r="BI87" s="8">
        <f t="shared" si="4"/>
        <v>0</v>
      </c>
      <c r="BJ87" s="8">
        <f t="shared" si="6"/>
        <v>242</v>
      </c>
      <c r="BK87">
        <v>679</v>
      </c>
      <c r="BL87">
        <v>134</v>
      </c>
      <c r="BM87">
        <v>7273</v>
      </c>
      <c r="BN87">
        <v>3080</v>
      </c>
      <c r="BO87">
        <v>148</v>
      </c>
      <c r="BP87">
        <v>552</v>
      </c>
      <c r="BQ87" s="8">
        <f t="shared" si="9"/>
        <v>865</v>
      </c>
      <c r="BR87" s="8">
        <f t="shared" si="5"/>
        <v>153</v>
      </c>
      <c r="BS87">
        <v>298</v>
      </c>
      <c r="BT87">
        <v>202</v>
      </c>
      <c r="BU87">
        <v>327</v>
      </c>
      <c r="BV87">
        <v>20</v>
      </c>
      <c r="BW87">
        <v>18</v>
      </c>
    </row>
    <row r="88" spans="1:75" x14ac:dyDescent="0.25">
      <c r="A88" s="2">
        <v>45352</v>
      </c>
      <c r="B88" s="11" t="s">
        <v>78</v>
      </c>
      <c r="C88" s="12">
        <v>1</v>
      </c>
      <c r="D88" s="19" t="s">
        <v>94</v>
      </c>
      <c r="E88">
        <v>1274</v>
      </c>
      <c r="F88">
        <v>967</v>
      </c>
      <c r="G88">
        <v>5534</v>
      </c>
      <c r="H88">
        <v>832</v>
      </c>
      <c r="I88">
        <v>4373</v>
      </c>
      <c r="J88">
        <v>4234</v>
      </c>
      <c r="K88">
        <v>904</v>
      </c>
      <c r="L88">
        <v>7156</v>
      </c>
      <c r="M88">
        <v>1451</v>
      </c>
      <c r="N88">
        <v>8459</v>
      </c>
      <c r="O88">
        <v>148</v>
      </c>
      <c r="P88">
        <v>5386</v>
      </c>
      <c r="Q88">
        <v>4727</v>
      </c>
      <c r="R88">
        <v>86</v>
      </c>
      <c r="S88">
        <v>0</v>
      </c>
      <c r="T88">
        <v>231</v>
      </c>
      <c r="U88">
        <v>5617</v>
      </c>
      <c r="V88">
        <v>907</v>
      </c>
      <c r="W88">
        <v>6</v>
      </c>
      <c r="X88">
        <v>0</v>
      </c>
      <c r="Y88">
        <v>11</v>
      </c>
      <c r="Z88">
        <v>21107</v>
      </c>
      <c r="AA88">
        <v>12246</v>
      </c>
      <c r="AB88">
        <v>8524</v>
      </c>
      <c r="AC88">
        <v>47</v>
      </c>
      <c r="AD88">
        <v>36</v>
      </c>
      <c r="AE88">
        <v>21</v>
      </c>
      <c r="AF88">
        <v>0</v>
      </c>
      <c r="AG88">
        <v>122</v>
      </c>
      <c r="AH88">
        <v>19</v>
      </c>
      <c r="AI88">
        <v>0</v>
      </c>
      <c r="AJ88">
        <v>3</v>
      </c>
      <c r="AK88">
        <v>1</v>
      </c>
      <c r="AL88">
        <v>0</v>
      </c>
      <c r="AM88">
        <v>6</v>
      </c>
      <c r="AN88">
        <v>17</v>
      </c>
      <c r="AO88">
        <v>19</v>
      </c>
      <c r="AP88">
        <v>3</v>
      </c>
      <c r="AQ88">
        <v>4</v>
      </c>
      <c r="AR88">
        <v>35</v>
      </c>
      <c r="AS88">
        <v>5</v>
      </c>
      <c r="AT88">
        <v>12</v>
      </c>
      <c r="AU88">
        <v>224</v>
      </c>
      <c r="AV88">
        <v>116</v>
      </c>
      <c r="AW88">
        <v>4</v>
      </c>
      <c r="AX88">
        <v>4</v>
      </c>
      <c r="AY88">
        <v>2</v>
      </c>
      <c r="AZ88">
        <v>0</v>
      </c>
      <c r="BA88">
        <v>1</v>
      </c>
      <c r="BB88">
        <v>4</v>
      </c>
      <c r="BC88">
        <v>2</v>
      </c>
      <c r="BD88">
        <v>7</v>
      </c>
      <c r="BE88">
        <v>3</v>
      </c>
      <c r="BF88" s="8">
        <f>E88+F88+G88+H88</f>
        <v>8607</v>
      </c>
      <c r="BG88" s="8">
        <f>AD88+AE88+AF88+AG88+AH88</f>
        <v>198</v>
      </c>
      <c r="BH88" s="8">
        <f>AJ88+AK88+AL88+AM88</f>
        <v>10</v>
      </c>
      <c r="BI88" s="8">
        <f>AI88</f>
        <v>0</v>
      </c>
      <c r="BJ88" s="8">
        <f>SUM(AD88:AN88)</f>
        <v>225</v>
      </c>
      <c r="BK88">
        <v>736</v>
      </c>
      <c r="BL88">
        <v>156</v>
      </c>
      <c r="BM88">
        <v>9159</v>
      </c>
      <c r="BN88">
        <v>3486</v>
      </c>
      <c r="BO88">
        <v>213</v>
      </c>
      <c r="BP88">
        <v>649</v>
      </c>
      <c r="BQ88" s="8">
        <f t="shared" si="9"/>
        <v>899</v>
      </c>
      <c r="BR88" s="8">
        <f t="shared" si="5"/>
        <v>159</v>
      </c>
      <c r="BS88">
        <v>322</v>
      </c>
      <c r="BT88">
        <v>239</v>
      </c>
      <c r="BU88">
        <v>287</v>
      </c>
      <c r="BV88">
        <v>22</v>
      </c>
      <c r="BW88">
        <v>29</v>
      </c>
    </row>
    <row r="89" spans="1:75" x14ac:dyDescent="0.25">
      <c r="A89" s="2">
        <v>45383</v>
      </c>
      <c r="B89" s="16" t="s">
        <v>79</v>
      </c>
      <c r="C89" s="17">
        <v>1</v>
      </c>
      <c r="D89" s="19" t="s">
        <v>94</v>
      </c>
      <c r="E89">
        <v>1770</v>
      </c>
      <c r="F89">
        <v>1160</v>
      </c>
      <c r="G89">
        <v>6833</v>
      </c>
      <c r="H89">
        <v>979</v>
      </c>
      <c r="I89">
        <v>5733</v>
      </c>
      <c r="J89">
        <v>5009</v>
      </c>
      <c r="K89">
        <v>1050</v>
      </c>
      <c r="L89">
        <v>8971</v>
      </c>
      <c r="M89">
        <v>1771</v>
      </c>
      <c r="N89">
        <v>10369</v>
      </c>
      <c r="O89">
        <v>373</v>
      </c>
      <c r="P89">
        <v>5785</v>
      </c>
      <c r="Q89">
        <v>5108</v>
      </c>
      <c r="R89">
        <v>28</v>
      </c>
      <c r="S89">
        <v>0</v>
      </c>
      <c r="T89">
        <v>162</v>
      </c>
      <c r="U89">
        <v>6206</v>
      </c>
      <c r="V89">
        <v>1386</v>
      </c>
      <c r="W89">
        <v>10</v>
      </c>
      <c r="X89">
        <v>0</v>
      </c>
      <c r="Y89">
        <v>17</v>
      </c>
      <c r="Z89">
        <v>26924</v>
      </c>
      <c r="AA89">
        <v>14250</v>
      </c>
      <c r="AB89">
        <v>10484</v>
      </c>
      <c r="AC89">
        <v>30</v>
      </c>
      <c r="AD89">
        <v>16</v>
      </c>
      <c r="AE89">
        <v>13</v>
      </c>
      <c r="AF89">
        <v>3</v>
      </c>
      <c r="AG89">
        <v>125</v>
      </c>
      <c r="AH89">
        <v>21</v>
      </c>
      <c r="AI89">
        <v>0</v>
      </c>
      <c r="AJ89">
        <v>3</v>
      </c>
      <c r="AK89">
        <v>2</v>
      </c>
      <c r="AL89">
        <v>0</v>
      </c>
      <c r="AM89">
        <v>6</v>
      </c>
      <c r="AN89">
        <v>15</v>
      </c>
      <c r="AO89">
        <v>9</v>
      </c>
      <c r="AP89">
        <v>4</v>
      </c>
      <c r="AQ89">
        <v>1</v>
      </c>
      <c r="AR89">
        <v>34</v>
      </c>
      <c r="AS89">
        <v>11</v>
      </c>
      <c r="AT89">
        <v>9</v>
      </c>
      <c r="AU89">
        <v>177</v>
      </c>
      <c r="AV89">
        <v>95</v>
      </c>
      <c r="AW89">
        <v>5</v>
      </c>
      <c r="AX89">
        <v>5</v>
      </c>
      <c r="AY89">
        <v>4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3</v>
      </c>
      <c r="BF89" s="8">
        <f t="shared" ref="BF89:BF121" si="10">E89+F89+G89+H89</f>
        <v>10742</v>
      </c>
      <c r="BG89" s="8">
        <f t="shared" ref="BG89:BG121" si="11">AD89+AE89+AF89+AG89+AH89</f>
        <v>178</v>
      </c>
      <c r="BH89" s="8">
        <f t="shared" ref="BH89:BH121" si="12">AJ89+AK89+AL89+AM89</f>
        <v>11</v>
      </c>
      <c r="BI89" s="8">
        <f t="shared" ref="BI89:BI121" si="13">AI89</f>
        <v>0</v>
      </c>
      <c r="BJ89" s="8">
        <f t="shared" ref="BJ89:BJ121" si="14">SUM(AD89:AN89)</f>
        <v>204</v>
      </c>
      <c r="BK89">
        <v>721</v>
      </c>
      <c r="BL89">
        <v>186</v>
      </c>
      <c r="BM89">
        <v>9280</v>
      </c>
      <c r="BN89">
        <v>4544</v>
      </c>
      <c r="BO89">
        <v>302</v>
      </c>
      <c r="BP89">
        <v>642</v>
      </c>
      <c r="BQ89" s="8">
        <f t="shared" si="9"/>
        <v>983</v>
      </c>
      <c r="BR89" s="8">
        <f t="shared" si="5"/>
        <v>123</v>
      </c>
      <c r="BS89">
        <v>341</v>
      </c>
      <c r="BT89">
        <v>288</v>
      </c>
      <c r="BU89">
        <v>302</v>
      </c>
      <c r="BV89">
        <v>31</v>
      </c>
      <c r="BW89">
        <v>21</v>
      </c>
    </row>
    <row r="90" spans="1:75" x14ac:dyDescent="0.25">
      <c r="A90" s="2">
        <v>45413</v>
      </c>
      <c r="B90" s="3" t="s">
        <v>80</v>
      </c>
      <c r="C90">
        <v>2</v>
      </c>
      <c r="D90" s="19" t="s">
        <v>94</v>
      </c>
      <c r="E90">
        <v>1505</v>
      </c>
      <c r="F90">
        <v>966</v>
      </c>
      <c r="G90">
        <v>6198</v>
      </c>
      <c r="H90">
        <v>1066</v>
      </c>
      <c r="I90">
        <v>4970</v>
      </c>
      <c r="J90">
        <v>4765</v>
      </c>
      <c r="K90">
        <v>1013</v>
      </c>
      <c r="L90">
        <v>7808</v>
      </c>
      <c r="M90">
        <v>1927</v>
      </c>
      <c r="N90">
        <v>9644</v>
      </c>
      <c r="O90">
        <v>91</v>
      </c>
      <c r="P90">
        <v>7208</v>
      </c>
      <c r="Q90">
        <v>6139</v>
      </c>
      <c r="R90">
        <v>25</v>
      </c>
      <c r="S90">
        <v>0</v>
      </c>
      <c r="T90">
        <v>277</v>
      </c>
      <c r="U90">
        <v>7502</v>
      </c>
      <c r="V90">
        <v>1157</v>
      </c>
      <c r="W90">
        <v>3</v>
      </c>
      <c r="X90">
        <v>0</v>
      </c>
      <c r="Y90">
        <v>23</v>
      </c>
      <c r="Z90">
        <v>25919</v>
      </c>
      <c r="AA90">
        <v>14979</v>
      </c>
      <c r="AB90">
        <v>10412</v>
      </c>
      <c r="AC90">
        <v>62</v>
      </c>
      <c r="AD90">
        <v>46</v>
      </c>
      <c r="AE90">
        <v>14</v>
      </c>
      <c r="AF90">
        <v>0</v>
      </c>
      <c r="AG90">
        <v>159</v>
      </c>
      <c r="AH90">
        <v>13</v>
      </c>
      <c r="AI90">
        <v>0</v>
      </c>
      <c r="AJ90">
        <v>0</v>
      </c>
      <c r="AK90">
        <v>3</v>
      </c>
      <c r="AL90">
        <v>1</v>
      </c>
      <c r="AM90">
        <v>2</v>
      </c>
      <c r="AN90">
        <v>20</v>
      </c>
      <c r="AO90">
        <v>24</v>
      </c>
      <c r="AP90">
        <v>5</v>
      </c>
      <c r="AQ90">
        <v>3</v>
      </c>
      <c r="AR90">
        <v>26</v>
      </c>
      <c r="AS90">
        <v>5</v>
      </c>
      <c r="AT90">
        <v>10</v>
      </c>
      <c r="AU90">
        <v>323</v>
      </c>
      <c r="AV90">
        <v>131</v>
      </c>
      <c r="AW90">
        <v>2</v>
      </c>
      <c r="AX90">
        <v>5</v>
      </c>
      <c r="AY90">
        <v>3</v>
      </c>
      <c r="AZ90">
        <v>0</v>
      </c>
      <c r="BA90">
        <v>0</v>
      </c>
      <c r="BB90">
        <v>2</v>
      </c>
      <c r="BC90">
        <v>0</v>
      </c>
      <c r="BD90">
        <v>6</v>
      </c>
      <c r="BE90">
        <v>1</v>
      </c>
      <c r="BF90" s="8">
        <f t="shared" si="10"/>
        <v>9735</v>
      </c>
      <c r="BG90" s="8">
        <f t="shared" si="11"/>
        <v>232</v>
      </c>
      <c r="BH90" s="8">
        <f t="shared" si="12"/>
        <v>6</v>
      </c>
      <c r="BI90" s="8">
        <f t="shared" si="13"/>
        <v>0</v>
      </c>
      <c r="BJ90" s="8">
        <f t="shared" si="14"/>
        <v>258</v>
      </c>
      <c r="BK90">
        <v>711</v>
      </c>
      <c r="BL90">
        <v>145</v>
      </c>
      <c r="BM90">
        <v>9543</v>
      </c>
      <c r="BN90">
        <v>4282</v>
      </c>
      <c r="BO90">
        <v>560</v>
      </c>
      <c r="BP90">
        <v>753</v>
      </c>
      <c r="BQ90" s="8">
        <f t="shared" si="9"/>
        <v>921</v>
      </c>
      <c r="BR90" s="8">
        <f t="shared" si="5"/>
        <v>173</v>
      </c>
      <c r="BS90">
        <v>267</v>
      </c>
      <c r="BT90">
        <v>198</v>
      </c>
      <c r="BU90">
        <v>229</v>
      </c>
      <c r="BV90">
        <v>21</v>
      </c>
      <c r="BW90">
        <v>206</v>
      </c>
    </row>
    <row r="91" spans="1:75" x14ac:dyDescent="0.25">
      <c r="A91" s="2">
        <v>45444</v>
      </c>
      <c r="B91" s="3" t="s">
        <v>81</v>
      </c>
      <c r="C91">
        <v>2</v>
      </c>
      <c r="D91" s="19" t="s">
        <v>94</v>
      </c>
      <c r="E91">
        <v>1355</v>
      </c>
      <c r="F91">
        <v>881</v>
      </c>
      <c r="G91">
        <v>5478</v>
      </c>
      <c r="H91">
        <v>1035</v>
      </c>
      <c r="I91">
        <v>4284</v>
      </c>
      <c r="J91">
        <v>4465</v>
      </c>
      <c r="K91">
        <v>718</v>
      </c>
      <c r="L91">
        <v>7268</v>
      </c>
      <c r="M91">
        <v>1481</v>
      </c>
      <c r="N91">
        <v>8687</v>
      </c>
      <c r="O91">
        <v>62</v>
      </c>
      <c r="P91">
        <v>6551</v>
      </c>
      <c r="Q91">
        <v>5680</v>
      </c>
      <c r="R91">
        <v>718</v>
      </c>
      <c r="S91">
        <v>19</v>
      </c>
      <c r="T91">
        <v>244</v>
      </c>
      <c r="U91">
        <v>6967</v>
      </c>
      <c r="V91">
        <v>1164</v>
      </c>
      <c r="W91">
        <v>13</v>
      </c>
      <c r="X91">
        <v>0</v>
      </c>
      <c r="Y91">
        <v>18</v>
      </c>
      <c r="Z91">
        <v>19584</v>
      </c>
      <c r="AA91">
        <v>14172</v>
      </c>
      <c r="AB91">
        <v>8002</v>
      </c>
      <c r="AC91">
        <v>92</v>
      </c>
      <c r="AD91">
        <v>48</v>
      </c>
      <c r="AE91">
        <v>30</v>
      </c>
      <c r="AF91">
        <v>0</v>
      </c>
      <c r="AG91">
        <v>226</v>
      </c>
      <c r="AH91">
        <v>18</v>
      </c>
      <c r="AI91">
        <v>0</v>
      </c>
      <c r="AJ91">
        <v>4</v>
      </c>
      <c r="AK91">
        <v>3</v>
      </c>
      <c r="AL91">
        <v>1</v>
      </c>
      <c r="AM91">
        <v>7</v>
      </c>
      <c r="AN91">
        <v>23</v>
      </c>
      <c r="AO91">
        <v>14</v>
      </c>
      <c r="AP91">
        <v>7</v>
      </c>
      <c r="AQ91">
        <v>11</v>
      </c>
      <c r="AR91">
        <v>53</v>
      </c>
      <c r="AS91">
        <v>14</v>
      </c>
      <c r="AT91">
        <v>20</v>
      </c>
      <c r="AU91">
        <v>363</v>
      </c>
      <c r="AV91">
        <v>195</v>
      </c>
      <c r="AW91">
        <v>14</v>
      </c>
      <c r="AX91">
        <v>7</v>
      </c>
      <c r="AY91">
        <v>1</v>
      </c>
      <c r="AZ91">
        <v>0</v>
      </c>
      <c r="BA91">
        <v>0</v>
      </c>
      <c r="BB91">
        <v>4</v>
      </c>
      <c r="BC91">
        <v>1</v>
      </c>
      <c r="BD91">
        <v>8</v>
      </c>
      <c r="BE91">
        <v>6</v>
      </c>
      <c r="BF91" s="8">
        <f t="shared" si="10"/>
        <v>8749</v>
      </c>
      <c r="BG91" s="8">
        <f t="shared" si="11"/>
        <v>322</v>
      </c>
      <c r="BH91" s="8">
        <f t="shared" si="12"/>
        <v>15</v>
      </c>
      <c r="BI91" s="8">
        <f t="shared" si="13"/>
        <v>0</v>
      </c>
      <c r="BJ91" s="8">
        <f t="shared" si="14"/>
        <v>360</v>
      </c>
      <c r="BK91">
        <v>677</v>
      </c>
      <c r="BL91">
        <v>174</v>
      </c>
      <c r="BM91">
        <v>8858</v>
      </c>
      <c r="BN91">
        <v>4232</v>
      </c>
      <c r="BO91">
        <v>429</v>
      </c>
      <c r="BP91">
        <v>710</v>
      </c>
      <c r="BQ91" s="8">
        <f t="shared" si="9"/>
        <v>842</v>
      </c>
      <c r="BR91" s="8">
        <f t="shared" si="5"/>
        <v>244</v>
      </c>
      <c r="BS91">
        <v>241</v>
      </c>
      <c r="BT91">
        <v>172</v>
      </c>
      <c r="BU91">
        <v>236</v>
      </c>
      <c r="BV91">
        <v>15</v>
      </c>
      <c r="BW91">
        <v>178</v>
      </c>
    </row>
    <row r="92" spans="1:75" x14ac:dyDescent="0.25">
      <c r="A92" s="2">
        <v>45474</v>
      </c>
      <c r="B92" s="3" t="s">
        <v>82</v>
      </c>
      <c r="C92">
        <v>2</v>
      </c>
      <c r="D92" s="19" t="s">
        <v>94</v>
      </c>
      <c r="E92">
        <v>1050</v>
      </c>
      <c r="F92">
        <v>960</v>
      </c>
      <c r="G92">
        <v>5625</v>
      </c>
      <c r="H92">
        <v>945</v>
      </c>
      <c r="I92">
        <v>4263</v>
      </c>
      <c r="J92">
        <v>4317</v>
      </c>
      <c r="K92">
        <v>865</v>
      </c>
      <c r="L92">
        <v>6423</v>
      </c>
      <c r="M92">
        <v>2157</v>
      </c>
      <c r="N92">
        <v>8555</v>
      </c>
      <c r="O92">
        <v>25</v>
      </c>
      <c r="P92">
        <v>6460</v>
      </c>
      <c r="Q92">
        <v>6292</v>
      </c>
      <c r="R92">
        <v>1520</v>
      </c>
      <c r="S92">
        <v>40</v>
      </c>
      <c r="T92">
        <v>297</v>
      </c>
      <c r="U92">
        <v>6703</v>
      </c>
      <c r="V92">
        <v>913</v>
      </c>
      <c r="W92">
        <v>24</v>
      </c>
      <c r="X92">
        <v>1</v>
      </c>
      <c r="Y92">
        <v>26</v>
      </c>
      <c r="Z92">
        <v>19651</v>
      </c>
      <c r="AA92">
        <v>13347</v>
      </c>
      <c r="AB92">
        <v>7969</v>
      </c>
      <c r="AC92">
        <v>133</v>
      </c>
      <c r="AD92">
        <v>45</v>
      </c>
      <c r="AE92">
        <v>40</v>
      </c>
      <c r="AF92">
        <v>1</v>
      </c>
      <c r="AG92">
        <v>219</v>
      </c>
      <c r="AH92">
        <v>9</v>
      </c>
      <c r="AI92">
        <v>1</v>
      </c>
      <c r="AJ92">
        <v>8</v>
      </c>
      <c r="AK92">
        <v>1</v>
      </c>
      <c r="AL92">
        <v>2</v>
      </c>
      <c r="AM92">
        <v>7</v>
      </c>
      <c r="AN92">
        <v>18</v>
      </c>
      <c r="AO92">
        <v>38</v>
      </c>
      <c r="AP92">
        <v>11</v>
      </c>
      <c r="AQ92">
        <v>8</v>
      </c>
      <c r="AR92">
        <v>42</v>
      </c>
      <c r="AS92">
        <v>10</v>
      </c>
      <c r="AT92">
        <v>23</v>
      </c>
      <c r="AU92">
        <v>508</v>
      </c>
      <c r="AV92">
        <v>177</v>
      </c>
      <c r="AW92">
        <v>13</v>
      </c>
      <c r="AX92">
        <v>11</v>
      </c>
      <c r="AY92">
        <v>7</v>
      </c>
      <c r="AZ92">
        <v>4</v>
      </c>
      <c r="BA92">
        <v>4</v>
      </c>
      <c r="BB92">
        <v>10</v>
      </c>
      <c r="BC92">
        <v>1</v>
      </c>
      <c r="BD92">
        <v>13</v>
      </c>
      <c r="BE92">
        <v>0</v>
      </c>
      <c r="BF92" s="8">
        <f t="shared" si="10"/>
        <v>8580</v>
      </c>
      <c r="BG92" s="8">
        <f t="shared" si="11"/>
        <v>314</v>
      </c>
      <c r="BH92" s="8">
        <f t="shared" si="12"/>
        <v>18</v>
      </c>
      <c r="BI92" s="8">
        <f t="shared" si="13"/>
        <v>1</v>
      </c>
      <c r="BJ92" s="8">
        <f t="shared" si="14"/>
        <v>351</v>
      </c>
      <c r="BK92">
        <v>787</v>
      </c>
      <c r="BL92">
        <v>192</v>
      </c>
      <c r="BM92">
        <v>9365</v>
      </c>
      <c r="BN92">
        <v>3897</v>
      </c>
      <c r="BO92">
        <v>433</v>
      </c>
      <c r="BP92">
        <v>647</v>
      </c>
      <c r="BQ92" s="8">
        <f t="shared" si="9"/>
        <v>826</v>
      </c>
      <c r="BR92" s="8">
        <f t="shared" si="5"/>
        <v>278</v>
      </c>
      <c r="BS92">
        <v>236</v>
      </c>
      <c r="BT92">
        <v>168</v>
      </c>
      <c r="BU92">
        <v>231</v>
      </c>
      <c r="BV92">
        <v>17</v>
      </c>
      <c r="BW92">
        <v>174</v>
      </c>
    </row>
    <row r="93" spans="1:75" x14ac:dyDescent="0.25">
      <c r="A93" s="2">
        <v>45505</v>
      </c>
      <c r="B93" s="3" t="s">
        <v>83</v>
      </c>
      <c r="C93">
        <v>2</v>
      </c>
      <c r="D93" s="19" t="s">
        <v>94</v>
      </c>
      <c r="E93">
        <v>934</v>
      </c>
      <c r="F93">
        <v>886</v>
      </c>
      <c r="G93">
        <v>5593</v>
      </c>
      <c r="H93">
        <v>812</v>
      </c>
      <c r="I93">
        <v>4046</v>
      </c>
      <c r="J93">
        <v>4179</v>
      </c>
      <c r="K93">
        <v>750</v>
      </c>
      <c r="L93">
        <v>6975</v>
      </c>
      <c r="M93">
        <v>1250</v>
      </c>
      <c r="N93">
        <v>8201</v>
      </c>
      <c r="O93">
        <v>24</v>
      </c>
      <c r="P93">
        <v>6477</v>
      </c>
      <c r="Q93">
        <v>6483</v>
      </c>
      <c r="R93">
        <v>410</v>
      </c>
      <c r="S93">
        <v>0</v>
      </c>
      <c r="T93">
        <v>186</v>
      </c>
      <c r="U93">
        <v>6937</v>
      </c>
      <c r="V93">
        <v>1014</v>
      </c>
      <c r="W93">
        <v>16</v>
      </c>
      <c r="X93">
        <v>0</v>
      </c>
      <c r="Y93">
        <v>19</v>
      </c>
      <c r="Z93">
        <v>21212</v>
      </c>
      <c r="AA93">
        <v>12631</v>
      </c>
      <c r="AB93">
        <v>8192</v>
      </c>
      <c r="AC93">
        <v>69</v>
      </c>
      <c r="AD93">
        <v>40</v>
      </c>
      <c r="AE93">
        <v>24</v>
      </c>
      <c r="AF93">
        <v>0</v>
      </c>
      <c r="AG93">
        <v>184</v>
      </c>
      <c r="AH93">
        <v>10</v>
      </c>
      <c r="AI93">
        <v>0</v>
      </c>
      <c r="AJ93">
        <v>2</v>
      </c>
      <c r="AK93">
        <v>2</v>
      </c>
      <c r="AL93">
        <v>0</v>
      </c>
      <c r="AM93">
        <v>3</v>
      </c>
      <c r="AN93">
        <v>4</v>
      </c>
      <c r="AO93">
        <v>23</v>
      </c>
      <c r="AP93">
        <v>5</v>
      </c>
      <c r="AQ93">
        <v>0</v>
      </c>
      <c r="AR93">
        <v>32</v>
      </c>
      <c r="AS93">
        <v>6</v>
      </c>
      <c r="AT93">
        <v>20</v>
      </c>
      <c r="AU93">
        <v>335</v>
      </c>
      <c r="AV93">
        <v>96</v>
      </c>
      <c r="AW93">
        <v>1</v>
      </c>
      <c r="AX93">
        <v>5</v>
      </c>
      <c r="AY93">
        <v>3</v>
      </c>
      <c r="AZ93">
        <v>2</v>
      </c>
      <c r="BA93">
        <v>0</v>
      </c>
      <c r="BB93">
        <v>4</v>
      </c>
      <c r="BC93">
        <v>0</v>
      </c>
      <c r="BD93">
        <v>14</v>
      </c>
      <c r="BE93">
        <v>4</v>
      </c>
      <c r="BF93" s="8">
        <f t="shared" si="10"/>
        <v>8225</v>
      </c>
      <c r="BG93" s="8">
        <f t="shared" si="11"/>
        <v>258</v>
      </c>
      <c r="BH93" s="8">
        <f t="shared" si="12"/>
        <v>7</v>
      </c>
      <c r="BI93" s="8">
        <f t="shared" si="13"/>
        <v>0</v>
      </c>
      <c r="BJ93" s="8">
        <f t="shared" si="14"/>
        <v>269</v>
      </c>
      <c r="BK93">
        <v>770</v>
      </c>
      <c r="BL93">
        <v>198</v>
      </c>
      <c r="BM93">
        <v>9360</v>
      </c>
      <c r="BN93">
        <v>3325</v>
      </c>
      <c r="BO93">
        <v>571</v>
      </c>
      <c r="BP93">
        <v>549</v>
      </c>
      <c r="BQ93" s="8">
        <f t="shared" si="9"/>
        <v>793</v>
      </c>
      <c r="BR93" s="8">
        <f t="shared" si="5"/>
        <v>148</v>
      </c>
      <c r="BS93">
        <v>227</v>
      </c>
      <c r="BT93">
        <v>161</v>
      </c>
      <c r="BU93">
        <v>222</v>
      </c>
      <c r="BV93">
        <v>16</v>
      </c>
      <c r="BW93">
        <v>167</v>
      </c>
    </row>
    <row r="94" spans="1:75" x14ac:dyDescent="0.25">
      <c r="A94" s="2">
        <v>45536</v>
      </c>
      <c r="B94" s="3" t="s">
        <v>84</v>
      </c>
      <c r="C94">
        <v>3</v>
      </c>
      <c r="D94" s="19" t="s">
        <v>94</v>
      </c>
      <c r="E94">
        <v>886</v>
      </c>
      <c r="F94">
        <v>970</v>
      </c>
      <c r="G94">
        <v>5531</v>
      </c>
      <c r="H94">
        <v>795</v>
      </c>
      <c r="I94">
        <v>3915</v>
      </c>
      <c r="J94">
        <v>4267</v>
      </c>
      <c r="K94">
        <v>834</v>
      </c>
      <c r="L94">
        <v>7618</v>
      </c>
      <c r="M94">
        <v>564</v>
      </c>
      <c r="N94">
        <v>8137</v>
      </c>
      <c r="O94">
        <v>45</v>
      </c>
      <c r="P94">
        <v>6069</v>
      </c>
      <c r="Q94">
        <v>5999</v>
      </c>
      <c r="R94">
        <v>396</v>
      </c>
      <c r="S94">
        <v>0</v>
      </c>
      <c r="T94">
        <v>225</v>
      </c>
      <c r="U94">
        <v>6633</v>
      </c>
      <c r="V94">
        <v>671</v>
      </c>
      <c r="W94">
        <v>14</v>
      </c>
      <c r="X94">
        <v>1</v>
      </c>
      <c r="Y94">
        <v>15</v>
      </c>
      <c r="Z94">
        <v>25482</v>
      </c>
      <c r="AA94">
        <v>11154</v>
      </c>
      <c r="AB94">
        <v>8326</v>
      </c>
      <c r="AC94">
        <v>25</v>
      </c>
      <c r="AD94">
        <v>36</v>
      </c>
      <c r="AE94">
        <v>26</v>
      </c>
      <c r="AF94">
        <v>0</v>
      </c>
      <c r="AG94">
        <v>208</v>
      </c>
      <c r="AH94">
        <v>11</v>
      </c>
      <c r="AI94">
        <v>0</v>
      </c>
      <c r="AJ94">
        <v>2</v>
      </c>
      <c r="AK94">
        <v>0</v>
      </c>
      <c r="AL94">
        <v>0</v>
      </c>
      <c r="AM94">
        <v>8</v>
      </c>
      <c r="AN94">
        <v>16</v>
      </c>
      <c r="AO94">
        <v>13</v>
      </c>
      <c r="AP94">
        <v>3</v>
      </c>
      <c r="AQ94">
        <v>1</v>
      </c>
      <c r="AR94">
        <v>57</v>
      </c>
      <c r="AS94">
        <v>18</v>
      </c>
      <c r="AT94">
        <v>12</v>
      </c>
      <c r="AU94">
        <v>269</v>
      </c>
      <c r="AV94">
        <v>96</v>
      </c>
      <c r="AW94">
        <v>3</v>
      </c>
      <c r="AX94">
        <v>2</v>
      </c>
      <c r="AY94">
        <v>4</v>
      </c>
      <c r="AZ94">
        <v>2</v>
      </c>
      <c r="BA94">
        <v>1</v>
      </c>
      <c r="BB94">
        <v>0</v>
      </c>
      <c r="BC94">
        <v>0</v>
      </c>
      <c r="BD94">
        <v>4</v>
      </c>
      <c r="BE94">
        <v>3</v>
      </c>
      <c r="BF94" s="8">
        <f t="shared" si="10"/>
        <v>8182</v>
      </c>
      <c r="BG94" s="8">
        <f t="shared" si="11"/>
        <v>281</v>
      </c>
      <c r="BH94" s="8">
        <f t="shared" si="12"/>
        <v>10</v>
      </c>
      <c r="BI94" s="8">
        <f t="shared" si="13"/>
        <v>0</v>
      </c>
      <c r="BJ94" s="8">
        <f t="shared" si="14"/>
        <v>307</v>
      </c>
      <c r="BK94">
        <v>702</v>
      </c>
      <c r="BL94">
        <v>190</v>
      </c>
      <c r="BM94">
        <v>9512</v>
      </c>
      <c r="BN94">
        <v>3395</v>
      </c>
      <c r="BO94">
        <v>525</v>
      </c>
      <c r="BP94">
        <v>641</v>
      </c>
      <c r="BQ94" s="8">
        <f t="shared" si="9"/>
        <v>832</v>
      </c>
      <c r="BR94" s="8">
        <f t="shared" si="5"/>
        <v>125</v>
      </c>
      <c r="BS94">
        <v>238</v>
      </c>
      <c r="BT94">
        <v>169</v>
      </c>
      <c r="BU94">
        <v>233</v>
      </c>
      <c r="BV94">
        <v>17</v>
      </c>
      <c r="BW94">
        <v>175</v>
      </c>
    </row>
    <row r="95" spans="1:75" x14ac:dyDescent="0.25">
      <c r="A95" s="2">
        <v>45566</v>
      </c>
      <c r="B95" s="3" t="s">
        <v>85</v>
      </c>
      <c r="C95">
        <v>3</v>
      </c>
      <c r="D95" s="19" t="s">
        <v>94</v>
      </c>
      <c r="E95">
        <v>953</v>
      </c>
      <c r="F95">
        <v>999</v>
      </c>
      <c r="G95">
        <v>5709</v>
      </c>
      <c r="H95">
        <v>788</v>
      </c>
      <c r="I95">
        <v>3944</v>
      </c>
      <c r="J95">
        <v>4505</v>
      </c>
      <c r="K95">
        <v>848</v>
      </c>
      <c r="L95">
        <v>7578</v>
      </c>
      <c r="M95">
        <v>871</v>
      </c>
      <c r="N95">
        <v>8369</v>
      </c>
      <c r="O95">
        <v>80</v>
      </c>
      <c r="P95">
        <v>6012</v>
      </c>
      <c r="Q95">
        <v>6378</v>
      </c>
      <c r="R95">
        <v>229</v>
      </c>
      <c r="S95">
        <v>0</v>
      </c>
      <c r="T95">
        <v>287</v>
      </c>
      <c r="U95">
        <v>6414</v>
      </c>
      <c r="V95">
        <v>780</v>
      </c>
      <c r="W95">
        <v>19</v>
      </c>
      <c r="X95">
        <v>1</v>
      </c>
      <c r="Y95">
        <v>11</v>
      </c>
      <c r="Z95">
        <v>23297</v>
      </c>
      <c r="AA95">
        <v>11089</v>
      </c>
      <c r="AB95">
        <v>8033</v>
      </c>
      <c r="AC95">
        <v>58</v>
      </c>
      <c r="AD95">
        <v>48</v>
      </c>
      <c r="AE95">
        <v>26</v>
      </c>
      <c r="AF95">
        <v>0</v>
      </c>
      <c r="AG95">
        <v>175</v>
      </c>
      <c r="AH95">
        <v>10</v>
      </c>
      <c r="AI95">
        <v>0</v>
      </c>
      <c r="AJ95">
        <v>4</v>
      </c>
      <c r="AK95">
        <v>1</v>
      </c>
      <c r="AL95">
        <v>0</v>
      </c>
      <c r="AM95">
        <v>6</v>
      </c>
      <c r="AN95">
        <v>14</v>
      </c>
      <c r="AO95">
        <v>23</v>
      </c>
      <c r="AP95">
        <v>5</v>
      </c>
      <c r="AQ95">
        <v>2</v>
      </c>
      <c r="AR95">
        <v>34</v>
      </c>
      <c r="AS95">
        <v>5</v>
      </c>
      <c r="AT95">
        <v>27</v>
      </c>
      <c r="AU95">
        <v>306</v>
      </c>
      <c r="AV95">
        <v>91</v>
      </c>
      <c r="AW95">
        <v>0</v>
      </c>
      <c r="AX95">
        <v>5</v>
      </c>
      <c r="AY95">
        <v>7</v>
      </c>
      <c r="AZ95">
        <v>0</v>
      </c>
      <c r="BA95">
        <v>0</v>
      </c>
      <c r="BB95">
        <v>3</v>
      </c>
      <c r="BC95">
        <v>0</v>
      </c>
      <c r="BD95">
        <v>8</v>
      </c>
      <c r="BE95">
        <v>2</v>
      </c>
      <c r="BF95" s="8">
        <f t="shared" si="10"/>
        <v>8449</v>
      </c>
      <c r="BG95" s="8">
        <f t="shared" si="11"/>
        <v>259</v>
      </c>
      <c r="BH95" s="8">
        <f t="shared" si="12"/>
        <v>11</v>
      </c>
      <c r="BI95" s="8">
        <f t="shared" si="13"/>
        <v>0</v>
      </c>
      <c r="BJ95" s="8">
        <f t="shared" si="14"/>
        <v>284</v>
      </c>
      <c r="BK95">
        <v>845</v>
      </c>
      <c r="BL95">
        <v>183</v>
      </c>
      <c r="BM95">
        <v>10073</v>
      </c>
      <c r="BN95">
        <v>3600</v>
      </c>
      <c r="BO95">
        <v>515</v>
      </c>
      <c r="BP95">
        <v>532</v>
      </c>
      <c r="BQ95" s="8">
        <f t="shared" si="9"/>
        <v>860</v>
      </c>
      <c r="BR95" s="8">
        <f t="shared" si="5"/>
        <v>137</v>
      </c>
      <c r="BS95">
        <v>244</v>
      </c>
      <c r="BT95">
        <v>152</v>
      </c>
      <c r="BU95">
        <v>243</v>
      </c>
      <c r="BV95">
        <v>20</v>
      </c>
      <c r="BW95">
        <v>201</v>
      </c>
    </row>
    <row r="96" spans="1:75" x14ac:dyDescent="0.25">
      <c r="A96" s="2">
        <v>45597</v>
      </c>
      <c r="B96" s="3" t="s">
        <v>86</v>
      </c>
      <c r="C96">
        <v>3</v>
      </c>
      <c r="D96" s="19" t="s">
        <v>94</v>
      </c>
      <c r="E96">
        <v>816</v>
      </c>
      <c r="F96">
        <v>766</v>
      </c>
      <c r="G96">
        <v>5526</v>
      </c>
      <c r="H96">
        <v>720</v>
      </c>
      <c r="I96">
        <v>3667</v>
      </c>
      <c r="J96">
        <v>4161</v>
      </c>
      <c r="K96">
        <v>923</v>
      </c>
      <c r="L96">
        <v>6923</v>
      </c>
      <c r="M96">
        <v>905</v>
      </c>
      <c r="N96">
        <v>7773</v>
      </c>
      <c r="O96">
        <v>55</v>
      </c>
      <c r="P96">
        <v>5016</v>
      </c>
      <c r="Q96">
        <v>5392</v>
      </c>
      <c r="R96">
        <v>445</v>
      </c>
      <c r="S96">
        <v>0</v>
      </c>
      <c r="T96">
        <v>223</v>
      </c>
      <c r="U96">
        <v>5617</v>
      </c>
      <c r="V96">
        <v>767</v>
      </c>
      <c r="W96">
        <v>12</v>
      </c>
      <c r="X96">
        <v>0</v>
      </c>
      <c r="Y96">
        <v>13</v>
      </c>
      <c r="Z96">
        <v>17040</v>
      </c>
      <c r="AA96">
        <v>10641</v>
      </c>
      <c r="AB96">
        <v>7297</v>
      </c>
      <c r="AC96">
        <v>29</v>
      </c>
      <c r="AD96">
        <v>46</v>
      </c>
      <c r="AE96">
        <v>22</v>
      </c>
      <c r="AF96">
        <v>2</v>
      </c>
      <c r="AG96">
        <v>171</v>
      </c>
      <c r="AH96">
        <v>4</v>
      </c>
      <c r="AI96">
        <v>0</v>
      </c>
      <c r="AJ96">
        <v>2</v>
      </c>
      <c r="AK96">
        <v>2</v>
      </c>
      <c r="AL96">
        <v>0</v>
      </c>
      <c r="AM96">
        <v>6</v>
      </c>
      <c r="AN96">
        <v>11</v>
      </c>
      <c r="AO96">
        <v>15</v>
      </c>
      <c r="AP96">
        <v>5</v>
      </c>
      <c r="AQ96">
        <v>3</v>
      </c>
      <c r="AR96">
        <v>41</v>
      </c>
      <c r="AS96">
        <v>5</v>
      </c>
      <c r="AT96">
        <v>22</v>
      </c>
      <c r="AU96">
        <v>237</v>
      </c>
      <c r="AV96">
        <v>60</v>
      </c>
      <c r="AW96">
        <v>4</v>
      </c>
      <c r="AX96">
        <v>4</v>
      </c>
      <c r="AY96">
        <v>3</v>
      </c>
      <c r="AZ96">
        <v>1</v>
      </c>
      <c r="BA96">
        <v>0</v>
      </c>
      <c r="BB96">
        <v>1</v>
      </c>
      <c r="BC96">
        <v>0</v>
      </c>
      <c r="BD96">
        <v>7</v>
      </c>
      <c r="BE96">
        <v>3</v>
      </c>
      <c r="BF96" s="8">
        <f t="shared" si="10"/>
        <v>7828</v>
      </c>
      <c r="BG96" s="8">
        <f t="shared" si="11"/>
        <v>245</v>
      </c>
      <c r="BH96" s="8">
        <f t="shared" si="12"/>
        <v>10</v>
      </c>
      <c r="BI96" s="8">
        <f t="shared" si="13"/>
        <v>0</v>
      </c>
      <c r="BJ96" s="8">
        <f t="shared" si="14"/>
        <v>266</v>
      </c>
      <c r="BK96">
        <v>771</v>
      </c>
      <c r="BL96">
        <v>137</v>
      </c>
      <c r="BM96">
        <v>8975</v>
      </c>
      <c r="BN96">
        <v>3287</v>
      </c>
      <c r="BO96">
        <v>565</v>
      </c>
      <c r="BP96">
        <v>602</v>
      </c>
      <c r="BQ96" s="8">
        <f t="shared" si="9"/>
        <v>755</v>
      </c>
      <c r="BR96" s="8">
        <f t="shared" si="5"/>
        <v>95</v>
      </c>
      <c r="BS96">
        <v>198</v>
      </c>
      <c r="BT96">
        <v>144</v>
      </c>
      <c r="BU96">
        <v>210</v>
      </c>
      <c r="BV96">
        <v>15</v>
      </c>
      <c r="BW96">
        <v>188</v>
      </c>
    </row>
    <row r="97" spans="1:75" x14ac:dyDescent="0.25">
      <c r="A97" s="2">
        <v>45627</v>
      </c>
      <c r="B97" s="3" t="s">
        <v>87</v>
      </c>
      <c r="C97">
        <v>3</v>
      </c>
      <c r="D97" s="19" t="s">
        <v>94</v>
      </c>
      <c r="E97">
        <v>706</v>
      </c>
      <c r="F97">
        <v>692</v>
      </c>
      <c r="G97">
        <v>5495</v>
      </c>
      <c r="H97">
        <v>719</v>
      </c>
      <c r="I97">
        <v>3515</v>
      </c>
      <c r="J97">
        <v>4097</v>
      </c>
      <c r="K97">
        <v>631</v>
      </c>
      <c r="L97">
        <v>6593</v>
      </c>
      <c r="M97">
        <v>1019</v>
      </c>
      <c r="N97">
        <v>7544</v>
      </c>
      <c r="O97">
        <v>68</v>
      </c>
      <c r="P97">
        <v>5761</v>
      </c>
      <c r="Q97">
        <v>5789</v>
      </c>
      <c r="R97">
        <v>749</v>
      </c>
      <c r="S97">
        <v>0</v>
      </c>
      <c r="T97">
        <v>100</v>
      </c>
      <c r="U97">
        <v>5880</v>
      </c>
      <c r="V97">
        <v>491</v>
      </c>
      <c r="W97">
        <v>11</v>
      </c>
      <c r="X97">
        <v>2</v>
      </c>
      <c r="Y97">
        <v>7</v>
      </c>
      <c r="Z97">
        <v>19010</v>
      </c>
      <c r="AA97">
        <v>10706</v>
      </c>
      <c r="AB97">
        <v>7846</v>
      </c>
      <c r="AC97">
        <v>26</v>
      </c>
      <c r="AD97">
        <v>37</v>
      </c>
      <c r="AE97">
        <v>16</v>
      </c>
      <c r="AF97">
        <v>10</v>
      </c>
      <c r="AG97">
        <v>169</v>
      </c>
      <c r="AH97">
        <v>8</v>
      </c>
      <c r="AI97">
        <v>0</v>
      </c>
      <c r="AJ97">
        <v>3</v>
      </c>
      <c r="AK97">
        <v>1</v>
      </c>
      <c r="AL97">
        <v>0</v>
      </c>
      <c r="AM97">
        <v>6</v>
      </c>
      <c r="AN97">
        <v>14</v>
      </c>
      <c r="AO97">
        <v>16</v>
      </c>
      <c r="AP97">
        <v>5</v>
      </c>
      <c r="AQ97">
        <v>0</v>
      </c>
      <c r="AR97">
        <v>29</v>
      </c>
      <c r="AS97">
        <v>16</v>
      </c>
      <c r="AT97">
        <v>14</v>
      </c>
      <c r="AU97">
        <v>206</v>
      </c>
      <c r="AV97">
        <v>67</v>
      </c>
      <c r="AW97">
        <v>3</v>
      </c>
      <c r="AX97">
        <v>3</v>
      </c>
      <c r="AY97">
        <v>7</v>
      </c>
      <c r="AZ97">
        <v>2</v>
      </c>
      <c r="BA97">
        <v>1</v>
      </c>
      <c r="BB97">
        <v>5</v>
      </c>
      <c r="BC97">
        <v>0</v>
      </c>
      <c r="BD97">
        <v>5</v>
      </c>
      <c r="BE97">
        <v>0</v>
      </c>
      <c r="BF97" s="8">
        <f t="shared" si="10"/>
        <v>7612</v>
      </c>
      <c r="BG97" s="8">
        <f t="shared" si="11"/>
        <v>240</v>
      </c>
      <c r="BH97" s="8">
        <f t="shared" si="12"/>
        <v>10</v>
      </c>
      <c r="BI97" s="8">
        <f t="shared" si="13"/>
        <v>0</v>
      </c>
      <c r="BJ97" s="8">
        <f t="shared" si="14"/>
        <v>264</v>
      </c>
      <c r="BK97">
        <v>670</v>
      </c>
      <c r="BL97">
        <v>156</v>
      </c>
      <c r="BM97">
        <v>8103</v>
      </c>
      <c r="BN97">
        <v>3162</v>
      </c>
      <c r="BO97">
        <v>539</v>
      </c>
      <c r="BP97">
        <v>631</v>
      </c>
      <c r="BQ97" s="8">
        <f t="shared" si="9"/>
        <v>888</v>
      </c>
      <c r="BR97" s="8">
        <f t="shared" si="5"/>
        <v>109</v>
      </c>
      <c r="BS97">
        <v>260</v>
      </c>
      <c r="BT97">
        <v>183</v>
      </c>
      <c r="BU97">
        <v>260</v>
      </c>
      <c r="BV97">
        <v>19</v>
      </c>
      <c r="BW97">
        <v>166</v>
      </c>
    </row>
    <row r="98" spans="1:75" x14ac:dyDescent="0.25">
      <c r="A98" s="20">
        <v>45658</v>
      </c>
      <c r="B98" s="21" t="s">
        <v>75</v>
      </c>
      <c r="C98" s="22">
        <v>1</v>
      </c>
      <c r="D98" s="23" t="s">
        <v>95</v>
      </c>
      <c r="E98">
        <v>975</v>
      </c>
      <c r="F98">
        <v>956</v>
      </c>
      <c r="G98">
        <v>5816</v>
      </c>
      <c r="H98">
        <v>762</v>
      </c>
      <c r="I98">
        <v>3934</v>
      </c>
      <c r="J98">
        <v>4575</v>
      </c>
      <c r="K98">
        <v>841</v>
      </c>
      <c r="L98">
        <v>6659</v>
      </c>
      <c r="M98">
        <v>1850</v>
      </c>
      <c r="N98">
        <v>8461</v>
      </c>
      <c r="O98">
        <v>48</v>
      </c>
      <c r="P98">
        <v>6090</v>
      </c>
      <c r="Q98">
        <v>5945</v>
      </c>
      <c r="R98">
        <v>563</v>
      </c>
      <c r="S98">
        <v>0</v>
      </c>
      <c r="T98">
        <v>273</v>
      </c>
      <c r="U98">
        <v>6289</v>
      </c>
      <c r="V98">
        <v>736</v>
      </c>
      <c r="W98">
        <v>26</v>
      </c>
      <c r="X98">
        <v>0</v>
      </c>
      <c r="Y98">
        <v>15</v>
      </c>
      <c r="Z98">
        <v>20800</v>
      </c>
      <c r="AA98">
        <v>12659</v>
      </c>
      <c r="AB98">
        <v>8819</v>
      </c>
      <c r="AC98">
        <v>23</v>
      </c>
      <c r="AD98">
        <v>46</v>
      </c>
      <c r="AE98">
        <v>28</v>
      </c>
      <c r="AF98">
        <v>6</v>
      </c>
      <c r="AG98">
        <v>148</v>
      </c>
      <c r="AH98">
        <v>11</v>
      </c>
      <c r="AI98">
        <v>0</v>
      </c>
      <c r="AJ98">
        <v>4</v>
      </c>
      <c r="AK98">
        <v>2</v>
      </c>
      <c r="AL98">
        <v>1</v>
      </c>
      <c r="AM98">
        <v>6</v>
      </c>
      <c r="AN98">
        <v>14</v>
      </c>
      <c r="AO98">
        <v>28</v>
      </c>
      <c r="AP98">
        <v>8</v>
      </c>
      <c r="AQ98">
        <v>4</v>
      </c>
      <c r="AR98">
        <v>34</v>
      </c>
      <c r="AS98">
        <v>20</v>
      </c>
      <c r="AT98">
        <v>31</v>
      </c>
      <c r="AU98">
        <v>456</v>
      </c>
      <c r="AV98">
        <v>144</v>
      </c>
      <c r="AW98">
        <v>8</v>
      </c>
      <c r="AX98">
        <v>8</v>
      </c>
      <c r="AY98">
        <v>5</v>
      </c>
      <c r="AZ98">
        <v>1</v>
      </c>
      <c r="BA98">
        <v>2</v>
      </c>
      <c r="BB98">
        <v>13</v>
      </c>
      <c r="BC98">
        <v>1</v>
      </c>
      <c r="BD98">
        <v>11</v>
      </c>
      <c r="BE98">
        <v>6</v>
      </c>
      <c r="BF98" s="8">
        <f t="shared" si="10"/>
        <v>8509</v>
      </c>
      <c r="BG98" s="8">
        <f t="shared" si="11"/>
        <v>239</v>
      </c>
      <c r="BH98" s="8">
        <f t="shared" si="12"/>
        <v>13</v>
      </c>
      <c r="BI98" s="8">
        <f t="shared" si="13"/>
        <v>0</v>
      </c>
      <c r="BJ98" s="8">
        <f t="shared" si="14"/>
        <v>266</v>
      </c>
      <c r="BK98">
        <v>701</v>
      </c>
      <c r="BL98">
        <v>144</v>
      </c>
      <c r="BM98">
        <v>9065</v>
      </c>
      <c r="BN98">
        <v>3036</v>
      </c>
      <c r="BO98">
        <v>445</v>
      </c>
      <c r="BP98">
        <v>761</v>
      </c>
      <c r="BQ98" s="8">
        <f t="shared" si="9"/>
        <v>1027</v>
      </c>
      <c r="BR98" s="8">
        <f t="shared" si="5"/>
        <v>221</v>
      </c>
      <c r="BS98">
        <v>290</v>
      </c>
      <c r="BT98">
        <v>232</v>
      </c>
      <c r="BU98">
        <v>276</v>
      </c>
      <c r="BV98">
        <v>22</v>
      </c>
      <c r="BW98">
        <v>207</v>
      </c>
    </row>
    <row r="99" spans="1:75" x14ac:dyDescent="0.25">
      <c r="A99" s="20">
        <v>45689</v>
      </c>
      <c r="B99" s="21" t="s">
        <v>77</v>
      </c>
      <c r="C99" s="22">
        <v>1</v>
      </c>
      <c r="D99" s="23" t="s">
        <v>95</v>
      </c>
      <c r="E99">
        <v>1058</v>
      </c>
      <c r="F99">
        <v>1038</v>
      </c>
      <c r="G99">
        <v>5337</v>
      </c>
      <c r="H99">
        <v>938</v>
      </c>
      <c r="I99">
        <v>3882</v>
      </c>
      <c r="J99">
        <v>4489</v>
      </c>
      <c r="K99">
        <v>589</v>
      </c>
      <c r="L99">
        <v>6870</v>
      </c>
      <c r="M99">
        <v>1501</v>
      </c>
      <c r="N99">
        <v>8069</v>
      </c>
      <c r="O99">
        <v>302</v>
      </c>
      <c r="P99">
        <v>6022</v>
      </c>
      <c r="Q99">
        <v>4906</v>
      </c>
      <c r="R99">
        <v>2598</v>
      </c>
      <c r="S99">
        <v>0</v>
      </c>
      <c r="T99">
        <v>556</v>
      </c>
      <c r="U99">
        <v>6222</v>
      </c>
      <c r="V99">
        <v>858</v>
      </c>
      <c r="W99">
        <v>29</v>
      </c>
      <c r="X99">
        <v>8</v>
      </c>
      <c r="Y99">
        <v>25</v>
      </c>
      <c r="Z99">
        <v>23744</v>
      </c>
      <c r="AA99">
        <v>14940</v>
      </c>
      <c r="AB99">
        <v>11143</v>
      </c>
      <c r="AC99">
        <v>115</v>
      </c>
      <c r="AD99">
        <v>38</v>
      </c>
      <c r="AE99">
        <v>18</v>
      </c>
      <c r="AF99">
        <v>2</v>
      </c>
      <c r="AG99">
        <v>197</v>
      </c>
      <c r="AH99">
        <v>21</v>
      </c>
      <c r="AI99">
        <v>0</v>
      </c>
      <c r="AJ99">
        <v>1</v>
      </c>
      <c r="AK99">
        <v>5</v>
      </c>
      <c r="AL99">
        <v>1</v>
      </c>
      <c r="AM99">
        <v>6</v>
      </c>
      <c r="AN99">
        <v>17</v>
      </c>
      <c r="AO99">
        <v>33</v>
      </c>
      <c r="AP99">
        <v>7</v>
      </c>
      <c r="AQ99">
        <v>2</v>
      </c>
      <c r="AR99">
        <v>58</v>
      </c>
      <c r="AS99">
        <v>10</v>
      </c>
      <c r="AT99">
        <v>28</v>
      </c>
      <c r="AU99">
        <v>482</v>
      </c>
      <c r="AV99">
        <v>170</v>
      </c>
      <c r="AW99">
        <v>11</v>
      </c>
      <c r="AX99">
        <v>15</v>
      </c>
      <c r="AY99">
        <v>7</v>
      </c>
      <c r="AZ99">
        <v>0</v>
      </c>
      <c r="BA99">
        <v>2</v>
      </c>
      <c r="BB99">
        <v>5</v>
      </c>
      <c r="BC99">
        <v>1</v>
      </c>
      <c r="BD99">
        <v>12</v>
      </c>
      <c r="BE99">
        <v>1</v>
      </c>
      <c r="BF99" s="8">
        <f t="shared" si="10"/>
        <v>8371</v>
      </c>
      <c r="BG99" s="8">
        <f t="shared" si="11"/>
        <v>276</v>
      </c>
      <c r="BH99" s="8">
        <f t="shared" si="12"/>
        <v>13</v>
      </c>
      <c r="BI99" s="8">
        <f t="shared" si="13"/>
        <v>0</v>
      </c>
      <c r="BJ99" s="8">
        <f t="shared" si="14"/>
        <v>306</v>
      </c>
      <c r="BK99">
        <v>697</v>
      </c>
      <c r="BL99">
        <v>161</v>
      </c>
      <c r="BM99">
        <v>7739</v>
      </c>
      <c r="BN99">
        <v>2643</v>
      </c>
      <c r="BO99">
        <v>633</v>
      </c>
      <c r="BP99">
        <v>581</v>
      </c>
      <c r="BQ99" s="8">
        <f t="shared" si="9"/>
        <v>978</v>
      </c>
      <c r="BR99" s="8">
        <f t="shared" si="5"/>
        <v>256</v>
      </c>
      <c r="BS99">
        <v>285</v>
      </c>
      <c r="BT99">
        <v>201</v>
      </c>
      <c r="BU99">
        <v>272</v>
      </c>
      <c r="BV99">
        <v>22</v>
      </c>
      <c r="BW99">
        <v>198</v>
      </c>
    </row>
    <row r="100" spans="1:75" x14ac:dyDescent="0.25">
      <c r="A100" s="20">
        <v>45717</v>
      </c>
      <c r="B100" s="21" t="s">
        <v>78</v>
      </c>
      <c r="C100" s="22">
        <v>1</v>
      </c>
      <c r="D100" s="23" t="s">
        <v>95</v>
      </c>
      <c r="E100">
        <v>1178</v>
      </c>
      <c r="F100">
        <v>1036</v>
      </c>
      <c r="G100">
        <v>5678</v>
      </c>
      <c r="H100">
        <v>1014</v>
      </c>
      <c r="I100">
        <v>4324</v>
      </c>
      <c r="J100">
        <v>4582</v>
      </c>
      <c r="K100">
        <v>584</v>
      </c>
      <c r="L100">
        <v>8249</v>
      </c>
      <c r="M100">
        <v>657</v>
      </c>
      <c r="N100">
        <v>8738</v>
      </c>
      <c r="O100">
        <v>168</v>
      </c>
      <c r="P100">
        <v>6532</v>
      </c>
      <c r="Q100">
        <v>6484</v>
      </c>
      <c r="R100">
        <v>2417</v>
      </c>
      <c r="S100">
        <v>0</v>
      </c>
      <c r="T100">
        <v>504</v>
      </c>
      <c r="U100">
        <v>6735</v>
      </c>
      <c r="V100">
        <v>954</v>
      </c>
      <c r="W100">
        <v>9</v>
      </c>
      <c r="X100">
        <v>4</v>
      </c>
      <c r="Y100">
        <v>21</v>
      </c>
      <c r="Z100">
        <v>20889</v>
      </c>
      <c r="AA100">
        <v>14129</v>
      </c>
      <c r="AB100">
        <v>9998</v>
      </c>
      <c r="AC100">
        <v>74</v>
      </c>
      <c r="AD100">
        <v>43</v>
      </c>
      <c r="AE100">
        <v>26</v>
      </c>
      <c r="AF100">
        <v>0</v>
      </c>
      <c r="AG100">
        <v>175</v>
      </c>
      <c r="AH100">
        <v>9</v>
      </c>
      <c r="AI100">
        <v>1</v>
      </c>
      <c r="AJ100">
        <v>5</v>
      </c>
      <c r="AK100">
        <v>1</v>
      </c>
      <c r="AL100">
        <v>0</v>
      </c>
      <c r="AM100">
        <v>15</v>
      </c>
      <c r="AN100">
        <v>17</v>
      </c>
      <c r="AO100">
        <v>36</v>
      </c>
      <c r="AP100">
        <v>10</v>
      </c>
      <c r="AQ100">
        <v>5</v>
      </c>
      <c r="AR100">
        <v>68</v>
      </c>
      <c r="AS100">
        <v>2</v>
      </c>
      <c r="AT100">
        <v>18</v>
      </c>
      <c r="AU100">
        <v>466</v>
      </c>
      <c r="AV100">
        <v>172</v>
      </c>
      <c r="AW100">
        <v>5</v>
      </c>
      <c r="AX100">
        <v>9</v>
      </c>
      <c r="AY100">
        <v>8</v>
      </c>
      <c r="AZ100">
        <v>0</v>
      </c>
      <c r="BA100">
        <v>0</v>
      </c>
      <c r="BB100">
        <v>4</v>
      </c>
      <c r="BC100">
        <v>0</v>
      </c>
      <c r="BD100">
        <v>2</v>
      </c>
      <c r="BE100">
        <v>3</v>
      </c>
      <c r="BF100" s="8">
        <f t="shared" si="10"/>
        <v>8906</v>
      </c>
      <c r="BG100" s="8">
        <f t="shared" si="11"/>
        <v>253</v>
      </c>
      <c r="BH100" s="8">
        <f t="shared" si="12"/>
        <v>21</v>
      </c>
      <c r="BI100" s="8">
        <f t="shared" si="13"/>
        <v>1</v>
      </c>
      <c r="BJ100" s="8">
        <f t="shared" si="14"/>
        <v>292</v>
      </c>
      <c r="BK100">
        <v>886</v>
      </c>
      <c r="BL100">
        <v>186</v>
      </c>
      <c r="BM100">
        <v>9714</v>
      </c>
      <c r="BN100">
        <v>2580</v>
      </c>
      <c r="BO100">
        <v>480</v>
      </c>
      <c r="BP100">
        <v>674</v>
      </c>
      <c r="BQ100" s="8">
        <f t="shared" si="9"/>
        <v>1001</v>
      </c>
      <c r="BR100" s="8">
        <f t="shared" si="5"/>
        <v>236</v>
      </c>
      <c r="BS100">
        <v>285</v>
      </c>
      <c r="BT100">
        <v>299</v>
      </c>
      <c r="BU100">
        <v>190</v>
      </c>
      <c r="BV100">
        <v>20</v>
      </c>
      <c r="BW100">
        <v>207</v>
      </c>
    </row>
    <row r="101" spans="1:75" x14ac:dyDescent="0.25">
      <c r="A101" s="20">
        <v>45748</v>
      </c>
      <c r="B101" s="21" t="s">
        <v>79</v>
      </c>
      <c r="C101" s="22">
        <v>1</v>
      </c>
      <c r="D101" s="23" t="s">
        <v>95</v>
      </c>
      <c r="E101">
        <v>1586</v>
      </c>
      <c r="F101">
        <v>1245</v>
      </c>
      <c r="G101">
        <v>6478</v>
      </c>
      <c r="H101">
        <v>1011</v>
      </c>
      <c r="I101">
        <v>5015</v>
      </c>
      <c r="J101">
        <v>5305</v>
      </c>
      <c r="K101">
        <v>777</v>
      </c>
      <c r="L101">
        <v>9485</v>
      </c>
      <c r="M101">
        <v>835</v>
      </c>
      <c r="N101">
        <v>10181</v>
      </c>
      <c r="O101">
        <v>139</v>
      </c>
      <c r="P101">
        <v>7192</v>
      </c>
      <c r="Q101">
        <v>7258</v>
      </c>
      <c r="R101">
        <v>2225</v>
      </c>
      <c r="S101">
        <v>0</v>
      </c>
      <c r="T101">
        <v>432</v>
      </c>
      <c r="U101">
        <v>7733</v>
      </c>
      <c r="V101">
        <v>1462</v>
      </c>
      <c r="W101">
        <v>20</v>
      </c>
      <c r="X101">
        <v>0</v>
      </c>
      <c r="Y101">
        <v>29</v>
      </c>
      <c r="Z101">
        <v>25984</v>
      </c>
      <c r="AA101">
        <v>16043</v>
      </c>
      <c r="AB101">
        <v>13162</v>
      </c>
      <c r="AC101">
        <v>70</v>
      </c>
      <c r="AD101">
        <v>52</v>
      </c>
      <c r="AE101">
        <v>23</v>
      </c>
      <c r="AF101">
        <v>1</v>
      </c>
      <c r="AG101">
        <v>152</v>
      </c>
      <c r="AH101">
        <v>14</v>
      </c>
      <c r="AI101">
        <v>0</v>
      </c>
      <c r="AJ101">
        <v>7</v>
      </c>
      <c r="AK101">
        <v>7</v>
      </c>
      <c r="AL101">
        <v>0</v>
      </c>
      <c r="AM101">
        <v>7</v>
      </c>
      <c r="AN101">
        <v>18</v>
      </c>
      <c r="AO101">
        <v>34</v>
      </c>
      <c r="AP101">
        <v>11</v>
      </c>
      <c r="AQ101">
        <v>3</v>
      </c>
      <c r="AR101">
        <v>56</v>
      </c>
      <c r="AS101">
        <v>11</v>
      </c>
      <c r="AT101">
        <v>13</v>
      </c>
      <c r="AU101">
        <v>449</v>
      </c>
      <c r="AV101">
        <v>169</v>
      </c>
      <c r="AW101">
        <v>8</v>
      </c>
      <c r="AX101">
        <v>12</v>
      </c>
      <c r="AY101">
        <v>12</v>
      </c>
      <c r="AZ101">
        <v>3</v>
      </c>
      <c r="BA101">
        <v>1</v>
      </c>
      <c r="BB101">
        <v>7</v>
      </c>
      <c r="BC101">
        <v>1</v>
      </c>
      <c r="BD101">
        <v>2</v>
      </c>
      <c r="BE101">
        <v>4</v>
      </c>
      <c r="BF101" s="8">
        <f t="shared" si="10"/>
        <v>10320</v>
      </c>
      <c r="BG101" s="8">
        <f t="shared" si="11"/>
        <v>242</v>
      </c>
      <c r="BH101" s="8">
        <f t="shared" si="12"/>
        <v>21</v>
      </c>
      <c r="BI101" s="8">
        <f t="shared" si="13"/>
        <v>0</v>
      </c>
      <c r="BJ101" s="8">
        <f t="shared" si="14"/>
        <v>281</v>
      </c>
      <c r="BK101">
        <v>1039</v>
      </c>
      <c r="BL101">
        <v>234</v>
      </c>
      <c r="BM101">
        <v>4955</v>
      </c>
      <c r="BN101">
        <v>3144</v>
      </c>
      <c r="BO101">
        <v>402</v>
      </c>
      <c r="BP101">
        <v>771</v>
      </c>
      <c r="BQ101" s="8">
        <f t="shared" si="9"/>
        <v>1109</v>
      </c>
      <c r="BR101" s="8">
        <f t="shared" si="5"/>
        <v>249</v>
      </c>
      <c r="BS101">
        <v>305</v>
      </c>
      <c r="BT101">
        <v>287</v>
      </c>
      <c r="BU101">
        <v>225</v>
      </c>
      <c r="BV101">
        <v>36</v>
      </c>
      <c r="BW101">
        <v>256</v>
      </c>
    </row>
    <row r="102" spans="1:75" x14ac:dyDescent="0.25">
      <c r="A102" s="24">
        <v>45778</v>
      </c>
      <c r="B102" s="25" t="s">
        <v>80</v>
      </c>
      <c r="C102" s="26">
        <v>2</v>
      </c>
      <c r="D102" s="27" t="s">
        <v>95</v>
      </c>
      <c r="E102" s="28">
        <v>1480</v>
      </c>
      <c r="F102" s="28">
        <v>1072</v>
      </c>
      <c r="G102" s="28">
        <v>6018</v>
      </c>
      <c r="H102" s="28">
        <v>1053</v>
      </c>
      <c r="I102" s="28">
        <v>4814</v>
      </c>
      <c r="J102" s="28">
        <v>4809</v>
      </c>
      <c r="K102" s="28">
        <v>592</v>
      </c>
      <c r="L102" s="28">
        <v>8150</v>
      </c>
      <c r="M102" s="28">
        <v>1473</v>
      </c>
      <c r="N102" s="28">
        <v>9413</v>
      </c>
      <c r="O102" s="28">
        <v>210</v>
      </c>
      <c r="P102" s="28">
        <v>7219</v>
      </c>
      <c r="Q102" s="28">
        <v>6527</v>
      </c>
      <c r="R102" s="28">
        <v>3300</v>
      </c>
      <c r="S102" s="28">
        <v>0</v>
      </c>
      <c r="T102" s="28">
        <v>613</v>
      </c>
      <c r="U102" s="28">
        <v>7578</v>
      </c>
      <c r="V102" s="28">
        <v>1303</v>
      </c>
      <c r="W102" s="28">
        <v>14</v>
      </c>
      <c r="X102" s="28">
        <v>5</v>
      </c>
      <c r="Y102" s="28">
        <v>17</v>
      </c>
      <c r="Z102" s="28">
        <v>30905</v>
      </c>
      <c r="AA102" s="28">
        <v>16496</v>
      </c>
      <c r="AB102" s="28">
        <v>11403</v>
      </c>
      <c r="AC102" s="28">
        <v>123</v>
      </c>
      <c r="AD102" s="28">
        <v>62</v>
      </c>
      <c r="AE102" s="28">
        <v>33</v>
      </c>
      <c r="AF102" s="28">
        <v>12</v>
      </c>
      <c r="AG102" s="28">
        <v>179</v>
      </c>
      <c r="AH102" s="28">
        <v>14</v>
      </c>
      <c r="AI102" s="28">
        <v>0</v>
      </c>
      <c r="AJ102" s="28">
        <v>3</v>
      </c>
      <c r="AK102" s="28">
        <v>6</v>
      </c>
      <c r="AL102" s="28">
        <v>0</v>
      </c>
      <c r="AM102" s="28">
        <v>5</v>
      </c>
      <c r="AN102" s="28">
        <v>19</v>
      </c>
      <c r="AO102" s="28">
        <v>28</v>
      </c>
      <c r="AP102" s="28">
        <v>10</v>
      </c>
      <c r="AQ102" s="28">
        <v>2</v>
      </c>
      <c r="AR102" s="28">
        <v>54</v>
      </c>
      <c r="AS102" s="28">
        <v>3</v>
      </c>
      <c r="AT102" s="28">
        <v>19</v>
      </c>
      <c r="AU102" s="28">
        <v>505</v>
      </c>
      <c r="AV102" s="28">
        <v>157</v>
      </c>
      <c r="AW102" s="28">
        <v>7</v>
      </c>
      <c r="AX102" s="28">
        <v>6</v>
      </c>
      <c r="AY102" s="28">
        <v>7</v>
      </c>
      <c r="AZ102" s="28">
        <v>2</v>
      </c>
      <c r="BA102" s="28">
        <v>0</v>
      </c>
      <c r="BB102" s="28">
        <v>11</v>
      </c>
      <c r="BC102" s="28">
        <v>2</v>
      </c>
      <c r="BD102" s="28">
        <v>3</v>
      </c>
      <c r="BE102" s="28">
        <v>2</v>
      </c>
      <c r="BF102" s="29">
        <f t="shared" si="10"/>
        <v>9623</v>
      </c>
      <c r="BG102" s="29">
        <f t="shared" si="11"/>
        <v>300</v>
      </c>
      <c r="BH102" s="29">
        <f t="shared" si="12"/>
        <v>14</v>
      </c>
      <c r="BI102" s="29">
        <f t="shared" si="13"/>
        <v>0</v>
      </c>
      <c r="BJ102" s="29">
        <f t="shared" si="14"/>
        <v>333</v>
      </c>
      <c r="BK102" s="28">
        <v>987</v>
      </c>
      <c r="BL102" s="28">
        <v>229</v>
      </c>
      <c r="BM102" s="28">
        <v>6987</v>
      </c>
      <c r="BN102" s="28">
        <v>3920</v>
      </c>
      <c r="BO102" s="28">
        <v>501</v>
      </c>
      <c r="BP102" s="28">
        <v>781</v>
      </c>
      <c r="BQ102" s="29">
        <f t="shared" si="9"/>
        <v>974</v>
      </c>
      <c r="BR102" s="29">
        <f t="shared" si="5"/>
        <v>223</v>
      </c>
      <c r="BS102" s="28">
        <v>239</v>
      </c>
      <c r="BT102" s="28">
        <v>267</v>
      </c>
      <c r="BU102" s="28">
        <v>239</v>
      </c>
      <c r="BV102" s="28">
        <v>41</v>
      </c>
      <c r="BW102" s="30">
        <v>188</v>
      </c>
    </row>
    <row r="103" spans="1:75" x14ac:dyDescent="0.25">
      <c r="A103" s="31">
        <v>45809</v>
      </c>
      <c r="B103" s="21" t="s">
        <v>81</v>
      </c>
      <c r="C103" s="22">
        <v>2</v>
      </c>
      <c r="D103" s="23" t="s">
        <v>95</v>
      </c>
      <c r="E103">
        <v>1442</v>
      </c>
      <c r="F103">
        <v>1054</v>
      </c>
      <c r="G103">
        <v>5562</v>
      </c>
      <c r="H103">
        <v>993</v>
      </c>
      <c r="I103">
        <v>4333</v>
      </c>
      <c r="J103">
        <v>4718</v>
      </c>
      <c r="K103">
        <v>519</v>
      </c>
      <c r="L103">
        <v>7626</v>
      </c>
      <c r="M103">
        <v>1425</v>
      </c>
      <c r="N103">
        <v>8674</v>
      </c>
      <c r="O103">
        <v>377</v>
      </c>
      <c r="P103">
        <v>6678</v>
      </c>
      <c r="Q103">
        <v>6060</v>
      </c>
      <c r="R103">
        <v>3261</v>
      </c>
      <c r="S103">
        <v>0</v>
      </c>
      <c r="T103">
        <v>722</v>
      </c>
      <c r="U103">
        <v>7135</v>
      </c>
      <c r="V103">
        <v>1243</v>
      </c>
      <c r="W103">
        <v>17</v>
      </c>
      <c r="X103">
        <v>1</v>
      </c>
      <c r="Y103">
        <v>27</v>
      </c>
      <c r="Z103">
        <v>28378</v>
      </c>
      <c r="AA103">
        <v>14956</v>
      </c>
      <c r="AB103">
        <v>9544</v>
      </c>
      <c r="AC103">
        <v>107</v>
      </c>
      <c r="AD103">
        <v>47</v>
      </c>
      <c r="AE103">
        <v>22</v>
      </c>
      <c r="AF103">
        <v>0</v>
      </c>
      <c r="AG103">
        <v>164</v>
      </c>
      <c r="AH103">
        <v>19</v>
      </c>
      <c r="AI103">
        <v>0</v>
      </c>
      <c r="AJ103">
        <v>0</v>
      </c>
      <c r="AK103">
        <v>3</v>
      </c>
      <c r="AL103">
        <v>1</v>
      </c>
      <c r="AM103">
        <v>6</v>
      </c>
      <c r="AN103">
        <v>15</v>
      </c>
      <c r="AO103">
        <v>36</v>
      </c>
      <c r="AP103">
        <v>5</v>
      </c>
      <c r="AQ103">
        <v>4</v>
      </c>
      <c r="AR103">
        <v>51</v>
      </c>
      <c r="AS103">
        <v>9</v>
      </c>
      <c r="AT103">
        <v>17</v>
      </c>
      <c r="AU103">
        <v>452</v>
      </c>
      <c r="AV103">
        <v>159</v>
      </c>
      <c r="AW103">
        <v>13</v>
      </c>
      <c r="AX103">
        <v>12</v>
      </c>
      <c r="AY103">
        <v>6</v>
      </c>
      <c r="AZ103">
        <v>0</v>
      </c>
      <c r="BA103">
        <v>0</v>
      </c>
      <c r="BB103">
        <v>4</v>
      </c>
      <c r="BC103">
        <v>0</v>
      </c>
      <c r="BD103">
        <v>15</v>
      </c>
      <c r="BE103">
        <v>3</v>
      </c>
      <c r="BF103" s="8">
        <f t="shared" si="10"/>
        <v>9051</v>
      </c>
      <c r="BG103" s="8">
        <f t="shared" si="11"/>
        <v>252</v>
      </c>
      <c r="BH103" s="8">
        <f t="shared" si="12"/>
        <v>10</v>
      </c>
      <c r="BI103" s="8">
        <f t="shared" si="13"/>
        <v>0</v>
      </c>
      <c r="BJ103" s="8">
        <f t="shared" si="14"/>
        <v>277</v>
      </c>
      <c r="BK103">
        <v>869</v>
      </c>
      <c r="BL103">
        <v>225</v>
      </c>
      <c r="BM103">
        <v>7849</v>
      </c>
      <c r="BN103">
        <v>3787</v>
      </c>
      <c r="BO103">
        <v>404</v>
      </c>
      <c r="BP103">
        <v>669</v>
      </c>
      <c r="BQ103" s="8">
        <f t="shared" si="9"/>
        <v>706</v>
      </c>
      <c r="BR103" s="8">
        <f t="shared" si="5"/>
        <v>245</v>
      </c>
      <c r="BS103">
        <v>274</v>
      </c>
      <c r="BT103">
        <v>234</v>
      </c>
      <c r="BU103">
        <v>135</v>
      </c>
      <c r="BV103">
        <v>26</v>
      </c>
      <c r="BW103" s="32">
        <v>37</v>
      </c>
    </row>
    <row r="104" spans="1:75" x14ac:dyDescent="0.25">
      <c r="A104" s="31">
        <v>45839</v>
      </c>
      <c r="B104" s="21" t="s">
        <v>82</v>
      </c>
      <c r="C104" s="22">
        <v>2</v>
      </c>
      <c r="D104" s="23" t="s">
        <v>95</v>
      </c>
      <c r="E104">
        <v>1064</v>
      </c>
      <c r="F104">
        <v>1018</v>
      </c>
      <c r="G104">
        <v>5701</v>
      </c>
      <c r="H104">
        <v>1075</v>
      </c>
      <c r="I104">
        <v>4318</v>
      </c>
      <c r="J104">
        <v>4540</v>
      </c>
      <c r="K104">
        <v>492</v>
      </c>
      <c r="L104">
        <v>7436</v>
      </c>
      <c r="M104">
        <v>1422</v>
      </c>
      <c r="N104">
        <v>8667</v>
      </c>
      <c r="O104">
        <v>191</v>
      </c>
      <c r="P104">
        <v>6851</v>
      </c>
      <c r="Q104">
        <v>5541</v>
      </c>
      <c r="R104">
        <v>3280</v>
      </c>
      <c r="S104">
        <v>0</v>
      </c>
      <c r="T104">
        <v>773</v>
      </c>
      <c r="U104">
        <v>7293</v>
      </c>
      <c r="V104">
        <v>949</v>
      </c>
      <c r="W104">
        <v>14</v>
      </c>
      <c r="X104">
        <v>1</v>
      </c>
      <c r="Y104">
        <v>13</v>
      </c>
      <c r="Z104">
        <v>28626</v>
      </c>
      <c r="AA104">
        <v>15737</v>
      </c>
      <c r="AB104">
        <v>9581</v>
      </c>
      <c r="AC104">
        <v>104</v>
      </c>
      <c r="AD104">
        <v>47</v>
      </c>
      <c r="AE104">
        <v>28</v>
      </c>
      <c r="AF104">
        <v>3</v>
      </c>
      <c r="AG104">
        <v>191</v>
      </c>
      <c r="AH104">
        <v>10</v>
      </c>
      <c r="AI104">
        <v>1</v>
      </c>
      <c r="AJ104">
        <v>2</v>
      </c>
      <c r="AK104">
        <v>3</v>
      </c>
      <c r="AL104">
        <v>0</v>
      </c>
      <c r="AM104">
        <v>11</v>
      </c>
      <c r="AN104">
        <v>17</v>
      </c>
      <c r="AO104">
        <v>36</v>
      </c>
      <c r="AP104">
        <v>11</v>
      </c>
      <c r="AQ104">
        <v>2</v>
      </c>
      <c r="AR104">
        <v>30</v>
      </c>
      <c r="AS104">
        <v>7</v>
      </c>
      <c r="AT104">
        <v>13</v>
      </c>
      <c r="AU104">
        <v>490</v>
      </c>
      <c r="AV104">
        <v>152</v>
      </c>
      <c r="AW104">
        <v>12</v>
      </c>
      <c r="AX104">
        <v>13</v>
      </c>
      <c r="AY104">
        <v>15</v>
      </c>
      <c r="AZ104">
        <v>3</v>
      </c>
      <c r="BA104">
        <v>3</v>
      </c>
      <c r="BB104">
        <v>11</v>
      </c>
      <c r="BC104">
        <v>0</v>
      </c>
      <c r="BD104">
        <v>11</v>
      </c>
      <c r="BE104">
        <v>1</v>
      </c>
      <c r="BF104" s="8">
        <f t="shared" si="10"/>
        <v>8858</v>
      </c>
      <c r="BG104" s="8">
        <f t="shared" si="11"/>
        <v>279</v>
      </c>
      <c r="BH104" s="8">
        <f t="shared" si="12"/>
        <v>16</v>
      </c>
      <c r="BI104" s="8">
        <f t="shared" si="13"/>
        <v>1</v>
      </c>
      <c r="BJ104" s="8">
        <f t="shared" si="14"/>
        <v>313</v>
      </c>
      <c r="BK104">
        <v>850</v>
      </c>
      <c r="BL104">
        <v>215</v>
      </c>
      <c r="BM104">
        <v>8610</v>
      </c>
      <c r="BN104">
        <v>3717</v>
      </c>
      <c r="BO104">
        <v>412</v>
      </c>
      <c r="BP104">
        <v>682</v>
      </c>
      <c r="BQ104" s="8">
        <f t="shared" si="9"/>
        <v>618</v>
      </c>
      <c r="BR104" s="8">
        <f t="shared" si="5"/>
        <v>256</v>
      </c>
      <c r="BS104">
        <v>208</v>
      </c>
      <c r="BT104">
        <v>259</v>
      </c>
      <c r="BU104">
        <v>115</v>
      </c>
      <c r="BV104">
        <v>16</v>
      </c>
      <c r="BW104" s="32">
        <v>20</v>
      </c>
    </row>
    <row r="105" spans="1:75" x14ac:dyDescent="0.25">
      <c r="A105" s="33">
        <v>45870</v>
      </c>
      <c r="B105" s="34" t="s">
        <v>83</v>
      </c>
      <c r="C105" s="35">
        <v>2</v>
      </c>
      <c r="D105" s="36" t="s">
        <v>95</v>
      </c>
      <c r="E105" s="37">
        <v>1033</v>
      </c>
      <c r="F105" s="37">
        <v>1101</v>
      </c>
      <c r="G105" s="37">
        <v>5660</v>
      </c>
      <c r="H105" s="37">
        <v>934</v>
      </c>
      <c r="I105" s="37">
        <v>4313</v>
      </c>
      <c r="J105" s="37">
        <v>4415</v>
      </c>
      <c r="K105" s="37">
        <v>565</v>
      </c>
      <c r="L105" s="37">
        <v>7011</v>
      </c>
      <c r="M105" s="37">
        <v>1717</v>
      </c>
      <c r="N105" s="37">
        <v>8537</v>
      </c>
      <c r="O105" s="37">
        <v>191</v>
      </c>
      <c r="P105" s="37">
        <v>6566</v>
      </c>
      <c r="Q105" s="37">
        <v>6140</v>
      </c>
      <c r="R105" s="37">
        <v>4109</v>
      </c>
      <c r="S105" s="37">
        <v>0</v>
      </c>
      <c r="T105" s="37">
        <v>652</v>
      </c>
      <c r="U105" s="37">
        <v>7074</v>
      </c>
      <c r="V105" s="37">
        <v>881</v>
      </c>
      <c r="W105" s="37">
        <v>20</v>
      </c>
      <c r="X105" s="37">
        <v>5</v>
      </c>
      <c r="Y105" s="37">
        <v>19</v>
      </c>
      <c r="Z105" s="37">
        <v>26837</v>
      </c>
      <c r="AA105" s="37">
        <v>16197</v>
      </c>
      <c r="AB105" s="37">
        <v>8837</v>
      </c>
      <c r="AC105" s="37">
        <v>82</v>
      </c>
      <c r="AD105" s="37">
        <v>41</v>
      </c>
      <c r="AE105" s="37">
        <v>30</v>
      </c>
      <c r="AF105" s="37">
        <v>3</v>
      </c>
      <c r="AG105" s="37">
        <v>168</v>
      </c>
      <c r="AH105" s="37">
        <v>8</v>
      </c>
      <c r="AI105" s="37">
        <v>0</v>
      </c>
      <c r="AJ105" s="37">
        <v>0</v>
      </c>
      <c r="AK105" s="37">
        <v>3</v>
      </c>
      <c r="AL105" s="37">
        <v>1</v>
      </c>
      <c r="AM105" s="37">
        <v>10</v>
      </c>
      <c r="AN105" s="37">
        <v>13</v>
      </c>
      <c r="AO105" s="37">
        <v>29</v>
      </c>
      <c r="AP105" s="37">
        <v>4</v>
      </c>
      <c r="AQ105" s="37">
        <v>6</v>
      </c>
      <c r="AR105" s="37">
        <v>51</v>
      </c>
      <c r="AS105" s="37">
        <v>12</v>
      </c>
      <c r="AT105" s="37">
        <v>17</v>
      </c>
      <c r="AU105" s="37">
        <v>460</v>
      </c>
      <c r="AV105" s="37">
        <v>134</v>
      </c>
      <c r="AW105" s="37">
        <v>13</v>
      </c>
      <c r="AX105" s="37">
        <v>6</v>
      </c>
      <c r="AY105" s="37">
        <v>11</v>
      </c>
      <c r="AZ105" s="37">
        <v>1</v>
      </c>
      <c r="BA105" s="37">
        <v>4</v>
      </c>
      <c r="BB105" s="37">
        <v>7</v>
      </c>
      <c r="BC105" s="37">
        <v>2</v>
      </c>
      <c r="BD105" s="37">
        <v>4</v>
      </c>
      <c r="BE105" s="37">
        <v>2</v>
      </c>
      <c r="BF105" s="38">
        <f t="shared" si="10"/>
        <v>8728</v>
      </c>
      <c r="BG105" s="38">
        <f t="shared" si="11"/>
        <v>250</v>
      </c>
      <c r="BH105" s="38">
        <f t="shared" si="12"/>
        <v>14</v>
      </c>
      <c r="BI105" s="38">
        <f t="shared" si="13"/>
        <v>0</v>
      </c>
      <c r="BJ105" s="38">
        <f t="shared" si="14"/>
        <v>277</v>
      </c>
      <c r="BK105" s="37">
        <v>729</v>
      </c>
      <c r="BL105" s="37">
        <v>239</v>
      </c>
      <c r="BM105" s="37">
        <v>8176</v>
      </c>
      <c r="BN105" s="37">
        <v>3017</v>
      </c>
      <c r="BO105" s="37">
        <v>444</v>
      </c>
      <c r="BP105" s="37">
        <v>694</v>
      </c>
      <c r="BQ105" s="38">
        <f t="shared" si="9"/>
        <v>697</v>
      </c>
      <c r="BR105" s="38">
        <f t="shared" si="5"/>
        <v>211</v>
      </c>
      <c r="BS105" s="37">
        <v>243</v>
      </c>
      <c r="BT105" s="37">
        <v>274</v>
      </c>
      <c r="BU105" s="37">
        <v>124</v>
      </c>
      <c r="BV105" s="37">
        <v>37</v>
      </c>
      <c r="BW105" s="39">
        <v>19</v>
      </c>
    </row>
    <row r="106" spans="1:75" x14ac:dyDescent="0.25">
      <c r="A106" s="20">
        <v>45901</v>
      </c>
      <c r="B106" s="21" t="s">
        <v>84</v>
      </c>
      <c r="C106" s="22">
        <v>3</v>
      </c>
      <c r="D106" s="23" t="s">
        <v>95</v>
      </c>
      <c r="E106">
        <v>1234</v>
      </c>
      <c r="F106">
        <v>1117</v>
      </c>
      <c r="G106">
        <v>5155</v>
      </c>
      <c r="H106">
        <v>1065</v>
      </c>
      <c r="I106">
        <v>4245</v>
      </c>
      <c r="J106">
        <v>4326</v>
      </c>
      <c r="K106">
        <v>464</v>
      </c>
      <c r="L106">
        <v>6886</v>
      </c>
      <c r="M106">
        <v>1685</v>
      </c>
      <c r="N106">
        <v>8208</v>
      </c>
      <c r="O106">
        <v>363</v>
      </c>
      <c r="P106">
        <v>7093</v>
      </c>
      <c r="Q106">
        <v>5718</v>
      </c>
      <c r="R106">
        <v>4180</v>
      </c>
      <c r="S106">
        <v>0</v>
      </c>
      <c r="T106">
        <v>1182</v>
      </c>
      <c r="U106">
        <v>7247</v>
      </c>
      <c r="V106">
        <v>1147</v>
      </c>
      <c r="W106">
        <v>14</v>
      </c>
      <c r="X106">
        <v>3</v>
      </c>
      <c r="Y106">
        <v>12</v>
      </c>
      <c r="Z106">
        <v>24956</v>
      </c>
      <c r="AA106">
        <v>15499</v>
      </c>
      <c r="AB106">
        <v>9800</v>
      </c>
      <c r="AC106">
        <v>110</v>
      </c>
      <c r="AD106">
        <v>44</v>
      </c>
      <c r="AE106">
        <v>35</v>
      </c>
      <c r="AF106">
        <v>1</v>
      </c>
      <c r="AG106">
        <v>160</v>
      </c>
      <c r="AH106">
        <v>16</v>
      </c>
      <c r="AI106">
        <v>0</v>
      </c>
      <c r="AJ106">
        <v>1</v>
      </c>
      <c r="AK106">
        <v>9</v>
      </c>
      <c r="AL106">
        <v>0</v>
      </c>
      <c r="AM106">
        <v>9</v>
      </c>
      <c r="AN106">
        <v>19</v>
      </c>
      <c r="AO106">
        <v>48</v>
      </c>
      <c r="AP106">
        <v>8</v>
      </c>
      <c r="AQ106">
        <v>3</v>
      </c>
      <c r="AR106">
        <v>52</v>
      </c>
      <c r="AS106">
        <v>4</v>
      </c>
      <c r="AT106">
        <v>23</v>
      </c>
      <c r="AU106">
        <v>527</v>
      </c>
      <c r="AV106">
        <v>195</v>
      </c>
      <c r="AW106">
        <v>13</v>
      </c>
      <c r="AX106">
        <v>8</v>
      </c>
      <c r="AY106">
        <v>13</v>
      </c>
      <c r="AZ106">
        <v>0</v>
      </c>
      <c r="BA106">
        <v>1</v>
      </c>
      <c r="BB106">
        <v>10</v>
      </c>
      <c r="BC106">
        <v>0</v>
      </c>
      <c r="BD106">
        <v>10</v>
      </c>
      <c r="BE106">
        <v>3</v>
      </c>
      <c r="BF106" s="8">
        <f t="shared" si="10"/>
        <v>8571</v>
      </c>
      <c r="BG106" s="8">
        <f t="shared" si="11"/>
        <v>256</v>
      </c>
      <c r="BH106" s="8">
        <f t="shared" si="12"/>
        <v>19</v>
      </c>
      <c r="BI106" s="8">
        <f t="shared" si="13"/>
        <v>0</v>
      </c>
      <c r="BJ106" s="8">
        <f t="shared" si="14"/>
        <v>294</v>
      </c>
      <c r="BK106">
        <v>624</v>
      </c>
      <c r="BL106">
        <v>212</v>
      </c>
      <c r="BM106">
        <v>8516</v>
      </c>
      <c r="BN106">
        <v>3609</v>
      </c>
      <c r="BO106">
        <v>381</v>
      </c>
      <c r="BP106">
        <v>830</v>
      </c>
      <c r="BQ106" s="8">
        <f t="shared" si="9"/>
        <v>661</v>
      </c>
      <c r="BR106" s="8">
        <f t="shared" si="5"/>
        <v>298</v>
      </c>
      <c r="BS106">
        <v>219</v>
      </c>
      <c r="BT106">
        <v>278</v>
      </c>
      <c r="BU106">
        <v>121</v>
      </c>
      <c r="BV106">
        <v>12</v>
      </c>
      <c r="BW106">
        <v>31</v>
      </c>
    </row>
    <row r="107" spans="1:75" x14ac:dyDescent="0.25">
      <c r="A107" s="20">
        <v>45931</v>
      </c>
      <c r="B107" s="21" t="s">
        <v>85</v>
      </c>
      <c r="C107" s="22">
        <v>3</v>
      </c>
      <c r="D107" s="23" t="s">
        <v>95</v>
      </c>
      <c r="E107">
        <v>1213</v>
      </c>
      <c r="F107">
        <v>1011</v>
      </c>
      <c r="G107">
        <v>5746</v>
      </c>
      <c r="H107">
        <v>960</v>
      </c>
      <c r="I107">
        <v>4434</v>
      </c>
      <c r="J107">
        <v>4496</v>
      </c>
      <c r="K107">
        <v>472</v>
      </c>
      <c r="L107">
        <v>7369</v>
      </c>
      <c r="M107">
        <v>1561</v>
      </c>
      <c r="N107">
        <v>8735</v>
      </c>
      <c r="O107">
        <v>195</v>
      </c>
      <c r="P107">
        <v>6544</v>
      </c>
      <c r="Q107">
        <v>5631</v>
      </c>
      <c r="R107">
        <v>2855</v>
      </c>
      <c r="S107">
        <v>0</v>
      </c>
      <c r="T107">
        <v>1103</v>
      </c>
      <c r="U107">
        <v>6928</v>
      </c>
      <c r="V107">
        <v>1190</v>
      </c>
      <c r="W107">
        <v>21</v>
      </c>
      <c r="X107">
        <v>4</v>
      </c>
      <c r="Y107">
        <v>15</v>
      </c>
      <c r="Z107">
        <v>25357</v>
      </c>
      <c r="AA107">
        <v>13913</v>
      </c>
      <c r="AB107">
        <v>9591</v>
      </c>
      <c r="AC107">
        <v>122</v>
      </c>
      <c r="AD107">
        <v>62</v>
      </c>
      <c r="AE107">
        <v>28</v>
      </c>
      <c r="AF107">
        <v>0</v>
      </c>
      <c r="AG107">
        <v>210</v>
      </c>
      <c r="AH107">
        <v>14</v>
      </c>
      <c r="AI107">
        <v>0</v>
      </c>
      <c r="AJ107">
        <v>0</v>
      </c>
      <c r="AK107">
        <v>1</v>
      </c>
      <c r="AL107">
        <v>2</v>
      </c>
      <c r="AM107">
        <v>6</v>
      </c>
      <c r="AN107">
        <v>15</v>
      </c>
      <c r="AO107">
        <v>42</v>
      </c>
      <c r="AP107">
        <v>7</v>
      </c>
      <c r="AQ107">
        <v>3</v>
      </c>
      <c r="AR107">
        <v>58</v>
      </c>
      <c r="AS107">
        <v>12</v>
      </c>
      <c r="AT107">
        <v>20</v>
      </c>
      <c r="AU107">
        <v>546</v>
      </c>
      <c r="AV107">
        <v>190</v>
      </c>
      <c r="AW107">
        <v>16</v>
      </c>
      <c r="AX107">
        <v>13</v>
      </c>
      <c r="AY107">
        <v>13</v>
      </c>
      <c r="AZ107">
        <v>0</v>
      </c>
      <c r="BA107">
        <v>1</v>
      </c>
      <c r="BB107">
        <v>6</v>
      </c>
      <c r="BC107">
        <v>0</v>
      </c>
      <c r="BD107">
        <v>2</v>
      </c>
      <c r="BE107">
        <v>1</v>
      </c>
      <c r="BF107" s="8">
        <f t="shared" si="10"/>
        <v>8930</v>
      </c>
      <c r="BG107" s="8">
        <f t="shared" si="11"/>
        <v>314</v>
      </c>
      <c r="BH107" s="8">
        <f t="shared" si="12"/>
        <v>9</v>
      </c>
      <c r="BI107" s="8">
        <f t="shared" si="13"/>
        <v>0</v>
      </c>
      <c r="BJ107" s="8">
        <f t="shared" si="14"/>
        <v>338</v>
      </c>
      <c r="BK107">
        <v>595</v>
      </c>
      <c r="BL107">
        <v>221</v>
      </c>
      <c r="BM107">
        <v>8565</v>
      </c>
      <c r="BN107">
        <v>3654</v>
      </c>
      <c r="BO107">
        <v>411</v>
      </c>
      <c r="BP107">
        <v>487</v>
      </c>
      <c r="BQ107" s="8">
        <f t="shared" si="9"/>
        <v>798</v>
      </c>
      <c r="BR107" s="8">
        <f t="shared" si="5"/>
        <v>283</v>
      </c>
      <c r="BS107">
        <v>282</v>
      </c>
      <c r="BT107">
        <v>301</v>
      </c>
      <c r="BU107">
        <v>145</v>
      </c>
      <c r="BV107">
        <v>22</v>
      </c>
      <c r="BW107">
        <v>48</v>
      </c>
    </row>
    <row r="108" spans="1:75" x14ac:dyDescent="0.25">
      <c r="A108" s="20">
        <v>45962</v>
      </c>
      <c r="B108" s="21" t="s">
        <v>86</v>
      </c>
      <c r="C108" s="22">
        <v>3</v>
      </c>
      <c r="D108" s="23" t="s">
        <v>95</v>
      </c>
      <c r="E108">
        <v>1098</v>
      </c>
      <c r="F108">
        <v>1030</v>
      </c>
      <c r="G108">
        <v>5229</v>
      </c>
      <c r="H108">
        <v>1012</v>
      </c>
      <c r="I108">
        <v>4134</v>
      </c>
      <c r="J108">
        <v>4235</v>
      </c>
      <c r="K108">
        <v>493</v>
      </c>
      <c r="L108">
        <v>7199</v>
      </c>
      <c r="M108">
        <v>1170</v>
      </c>
      <c r="N108">
        <v>8142</v>
      </c>
      <c r="O108">
        <v>227</v>
      </c>
      <c r="P108">
        <v>6645</v>
      </c>
      <c r="Q108">
        <v>6016</v>
      </c>
      <c r="R108">
        <v>3190</v>
      </c>
      <c r="S108">
        <v>0</v>
      </c>
      <c r="T108">
        <v>1006</v>
      </c>
      <c r="U108">
        <v>6489</v>
      </c>
      <c r="V108">
        <v>1015</v>
      </c>
      <c r="W108">
        <v>10</v>
      </c>
      <c r="X108">
        <v>13</v>
      </c>
      <c r="Y108">
        <v>16</v>
      </c>
      <c r="Z108">
        <v>26265</v>
      </c>
      <c r="AA108">
        <v>13494</v>
      </c>
      <c r="AB108">
        <v>8980</v>
      </c>
      <c r="AC108">
        <v>114</v>
      </c>
      <c r="AD108">
        <v>37</v>
      </c>
      <c r="AE108">
        <v>26</v>
      </c>
      <c r="AF108">
        <v>2</v>
      </c>
      <c r="AG108">
        <v>218</v>
      </c>
      <c r="AH108">
        <v>14</v>
      </c>
      <c r="AI108">
        <v>0</v>
      </c>
      <c r="AJ108">
        <v>2</v>
      </c>
      <c r="AK108">
        <v>2</v>
      </c>
      <c r="AL108">
        <v>0</v>
      </c>
      <c r="AM108">
        <v>11</v>
      </c>
      <c r="AN108">
        <v>16</v>
      </c>
      <c r="AO108">
        <v>31</v>
      </c>
      <c r="AP108">
        <v>9</v>
      </c>
      <c r="AQ108">
        <v>6</v>
      </c>
      <c r="AR108">
        <v>34</v>
      </c>
      <c r="AS108">
        <v>13</v>
      </c>
      <c r="AT108">
        <v>27</v>
      </c>
      <c r="AU108">
        <v>487</v>
      </c>
      <c r="AV108">
        <v>169</v>
      </c>
      <c r="AW108">
        <v>12</v>
      </c>
      <c r="AX108">
        <v>7</v>
      </c>
      <c r="AY108">
        <v>14</v>
      </c>
      <c r="AZ108">
        <v>1</v>
      </c>
      <c r="BA108">
        <v>4</v>
      </c>
      <c r="BB108">
        <v>6</v>
      </c>
      <c r="BC108">
        <v>0</v>
      </c>
      <c r="BD108">
        <v>3</v>
      </c>
      <c r="BE108">
        <v>3</v>
      </c>
      <c r="BF108" s="8">
        <f t="shared" si="10"/>
        <v>8369</v>
      </c>
      <c r="BG108" s="8">
        <f t="shared" si="11"/>
        <v>297</v>
      </c>
      <c r="BH108" s="8">
        <f t="shared" si="12"/>
        <v>15</v>
      </c>
      <c r="BI108" s="8">
        <f t="shared" si="13"/>
        <v>0</v>
      </c>
      <c r="BJ108" s="8">
        <f t="shared" si="14"/>
        <v>328</v>
      </c>
      <c r="BK108">
        <v>603</v>
      </c>
      <c r="BL108">
        <v>214</v>
      </c>
      <c r="BM108">
        <v>8332</v>
      </c>
      <c r="BN108">
        <v>3549</v>
      </c>
      <c r="BO108">
        <v>437</v>
      </c>
      <c r="BP108">
        <v>541</v>
      </c>
      <c r="BQ108" s="8">
        <f t="shared" si="9"/>
        <v>614</v>
      </c>
      <c r="BR108" s="8">
        <f t="shared" si="5"/>
        <v>247</v>
      </c>
      <c r="BS108">
        <v>209</v>
      </c>
      <c r="BT108">
        <v>232</v>
      </c>
      <c r="BU108">
        <v>131</v>
      </c>
      <c r="BV108">
        <v>20</v>
      </c>
      <c r="BW108">
        <v>22</v>
      </c>
    </row>
    <row r="109" spans="1:75" x14ac:dyDescent="0.25">
      <c r="A109" s="20">
        <v>45992</v>
      </c>
      <c r="B109" s="21" t="s">
        <v>87</v>
      </c>
      <c r="C109" s="22">
        <v>3</v>
      </c>
      <c r="D109" s="23" t="s">
        <v>95</v>
      </c>
      <c r="E109">
        <v>1079</v>
      </c>
      <c r="F109">
        <v>972</v>
      </c>
      <c r="G109">
        <v>5180</v>
      </c>
      <c r="H109">
        <v>1161</v>
      </c>
      <c r="I109">
        <v>4134</v>
      </c>
      <c r="J109">
        <v>4258</v>
      </c>
      <c r="K109">
        <v>466</v>
      </c>
      <c r="L109">
        <v>7120</v>
      </c>
      <c r="M109">
        <v>1272</v>
      </c>
      <c r="N109">
        <v>8226</v>
      </c>
      <c r="O109">
        <v>166</v>
      </c>
      <c r="P109">
        <v>6498</v>
      </c>
      <c r="Q109">
        <v>5944</v>
      </c>
      <c r="R109">
        <v>3612</v>
      </c>
      <c r="S109">
        <v>0</v>
      </c>
      <c r="T109">
        <v>590</v>
      </c>
      <c r="U109">
        <v>6122</v>
      </c>
      <c r="V109">
        <v>858</v>
      </c>
      <c r="W109">
        <v>14</v>
      </c>
      <c r="X109">
        <v>5</v>
      </c>
      <c r="Y109">
        <v>3</v>
      </c>
      <c r="Z109">
        <v>26077</v>
      </c>
      <c r="AA109">
        <v>14241</v>
      </c>
      <c r="AB109">
        <v>8987</v>
      </c>
      <c r="AC109">
        <v>64</v>
      </c>
      <c r="AD109">
        <v>62</v>
      </c>
      <c r="AE109">
        <v>21</v>
      </c>
      <c r="AF109">
        <v>0</v>
      </c>
      <c r="AG109">
        <v>193</v>
      </c>
      <c r="AH109">
        <v>9</v>
      </c>
      <c r="AI109">
        <v>0</v>
      </c>
      <c r="AJ109">
        <v>3</v>
      </c>
      <c r="AK109">
        <v>3</v>
      </c>
      <c r="AL109">
        <v>0</v>
      </c>
      <c r="AM109">
        <v>2</v>
      </c>
      <c r="AN109">
        <v>24</v>
      </c>
      <c r="AO109">
        <v>39</v>
      </c>
      <c r="AP109">
        <v>8</v>
      </c>
      <c r="AQ109">
        <v>2</v>
      </c>
      <c r="AR109">
        <v>15</v>
      </c>
      <c r="AS109">
        <v>14</v>
      </c>
      <c r="AT109">
        <v>26</v>
      </c>
      <c r="AU109">
        <v>462</v>
      </c>
      <c r="AV109">
        <v>155</v>
      </c>
      <c r="AW109">
        <v>10</v>
      </c>
      <c r="AX109">
        <v>4</v>
      </c>
      <c r="AY109">
        <v>8</v>
      </c>
      <c r="AZ109">
        <v>2</v>
      </c>
      <c r="BA109">
        <v>3</v>
      </c>
      <c r="BB109">
        <v>7</v>
      </c>
      <c r="BC109">
        <v>1</v>
      </c>
      <c r="BD109">
        <v>5</v>
      </c>
      <c r="BE109">
        <v>0</v>
      </c>
      <c r="BF109" s="8">
        <f t="shared" si="10"/>
        <v>8392</v>
      </c>
      <c r="BG109" s="8">
        <f t="shared" si="11"/>
        <v>285</v>
      </c>
      <c r="BH109" s="8">
        <f t="shared" si="12"/>
        <v>8</v>
      </c>
      <c r="BI109" s="8">
        <f t="shared" si="13"/>
        <v>0</v>
      </c>
      <c r="BJ109" s="8">
        <f t="shared" si="14"/>
        <v>317</v>
      </c>
      <c r="BK109">
        <v>653</v>
      </c>
      <c r="BL109">
        <v>282</v>
      </c>
      <c r="BM109">
        <v>9738</v>
      </c>
      <c r="BN109">
        <v>3505</v>
      </c>
      <c r="BO109">
        <v>365</v>
      </c>
      <c r="BP109">
        <v>746</v>
      </c>
      <c r="BQ109" s="8">
        <f t="shared" si="9"/>
        <v>629</v>
      </c>
      <c r="BR109" s="8">
        <f t="shared" si="5"/>
        <v>234</v>
      </c>
      <c r="BS109">
        <v>306</v>
      </c>
      <c r="BT109">
        <v>165</v>
      </c>
      <c r="BU109">
        <v>102</v>
      </c>
      <c r="BV109">
        <v>31</v>
      </c>
      <c r="BW109">
        <v>25</v>
      </c>
    </row>
    <row r="110" spans="1:75" s="41" customFormat="1" x14ac:dyDescent="0.25">
      <c r="A110" s="40">
        <v>46023</v>
      </c>
      <c r="B110" s="41" t="s">
        <v>75</v>
      </c>
      <c r="C110" s="41">
        <v>1</v>
      </c>
      <c r="D110" s="42" t="s">
        <v>96</v>
      </c>
      <c r="E110" s="41">
        <v>1082</v>
      </c>
      <c r="F110" s="41">
        <v>993</v>
      </c>
      <c r="G110" s="41">
        <v>5077</v>
      </c>
      <c r="H110" s="41">
        <v>1112</v>
      </c>
      <c r="I110" s="41">
        <v>4114</v>
      </c>
      <c r="J110" s="41">
        <v>4150</v>
      </c>
      <c r="K110" s="41">
        <v>706</v>
      </c>
      <c r="L110" s="41">
        <v>7233</v>
      </c>
      <c r="M110" s="41">
        <v>1031</v>
      </c>
      <c r="N110" s="41">
        <v>8103</v>
      </c>
      <c r="O110" s="41">
        <v>161</v>
      </c>
      <c r="P110" s="41">
        <v>6256</v>
      </c>
      <c r="Q110" s="41">
        <v>5128</v>
      </c>
      <c r="R110" s="41">
        <v>3406</v>
      </c>
      <c r="S110" s="41">
        <v>0</v>
      </c>
      <c r="T110" s="41">
        <v>765</v>
      </c>
      <c r="U110" s="41">
        <v>6092</v>
      </c>
      <c r="V110" s="41">
        <v>1078</v>
      </c>
      <c r="W110" s="41">
        <v>23</v>
      </c>
      <c r="X110" s="41">
        <v>5</v>
      </c>
      <c r="Y110" s="41">
        <v>18</v>
      </c>
      <c r="Z110" s="41">
        <v>29394</v>
      </c>
      <c r="AA110" s="41">
        <v>14219</v>
      </c>
      <c r="AB110" s="41">
        <v>8615</v>
      </c>
      <c r="AC110" s="41">
        <v>90</v>
      </c>
      <c r="AD110" s="41">
        <v>38</v>
      </c>
      <c r="AE110" s="41">
        <v>23</v>
      </c>
      <c r="AF110" s="41">
        <v>3</v>
      </c>
      <c r="AG110" s="41">
        <v>164</v>
      </c>
      <c r="AH110" s="41">
        <v>6</v>
      </c>
      <c r="AI110" s="41">
        <v>0</v>
      </c>
      <c r="AJ110" s="41">
        <v>10</v>
      </c>
      <c r="AK110" s="41">
        <v>6</v>
      </c>
      <c r="AL110" s="41">
        <v>0</v>
      </c>
      <c r="AM110" s="41">
        <v>4</v>
      </c>
      <c r="AN110" s="41">
        <v>14</v>
      </c>
      <c r="AO110" s="41">
        <v>38</v>
      </c>
      <c r="AP110" s="41">
        <v>1</v>
      </c>
      <c r="AQ110" s="41">
        <v>0</v>
      </c>
      <c r="AR110" s="41">
        <v>22</v>
      </c>
      <c r="AS110" s="41">
        <v>17</v>
      </c>
      <c r="AT110" s="41">
        <v>19</v>
      </c>
      <c r="AU110" s="41">
        <v>472</v>
      </c>
      <c r="AV110" s="41">
        <v>219</v>
      </c>
      <c r="AW110" s="41">
        <v>17</v>
      </c>
      <c r="AX110" s="41">
        <v>15</v>
      </c>
      <c r="AY110" s="41">
        <v>8</v>
      </c>
      <c r="AZ110" s="41">
        <v>1</v>
      </c>
      <c r="BA110" s="41">
        <v>2</v>
      </c>
      <c r="BB110" s="41">
        <v>4</v>
      </c>
      <c r="BC110" s="41">
        <v>4</v>
      </c>
      <c r="BD110" s="41">
        <v>13</v>
      </c>
      <c r="BE110" s="41">
        <v>0</v>
      </c>
      <c r="BF110" s="8">
        <f t="shared" si="10"/>
        <v>8264</v>
      </c>
      <c r="BG110" s="8">
        <f t="shared" si="11"/>
        <v>234</v>
      </c>
      <c r="BH110" s="8">
        <f t="shared" si="12"/>
        <v>20</v>
      </c>
      <c r="BI110" s="8">
        <f t="shared" si="13"/>
        <v>0</v>
      </c>
      <c r="BJ110" s="8">
        <f t="shared" si="14"/>
        <v>268</v>
      </c>
      <c r="BK110" s="41">
        <v>695</v>
      </c>
      <c r="BL110" s="41">
        <v>228</v>
      </c>
      <c r="BM110" s="41">
        <v>10612</v>
      </c>
      <c r="BN110" s="41">
        <v>3465</v>
      </c>
      <c r="BO110" s="41">
        <v>378</v>
      </c>
      <c r="BP110" s="41">
        <v>1107</v>
      </c>
      <c r="BQ110" s="8">
        <f t="shared" si="9"/>
        <v>666</v>
      </c>
      <c r="BR110" s="8">
        <f t="shared" si="5"/>
        <v>321</v>
      </c>
      <c r="BS110" s="41">
        <v>320</v>
      </c>
      <c r="BT110" s="41">
        <v>145</v>
      </c>
      <c r="BU110" s="41">
        <v>97</v>
      </c>
      <c r="BV110" s="41">
        <v>27</v>
      </c>
      <c r="BW110" s="41">
        <v>77</v>
      </c>
    </row>
    <row r="111" spans="1:75" s="41" customFormat="1" x14ac:dyDescent="0.25">
      <c r="A111" s="40">
        <v>46054</v>
      </c>
      <c r="B111" s="41" t="s">
        <v>77</v>
      </c>
      <c r="C111" s="41">
        <v>1</v>
      </c>
      <c r="D111" s="42" t="s">
        <v>96</v>
      </c>
      <c r="E111" s="41">
        <v>1097</v>
      </c>
      <c r="F111" s="41">
        <v>1170</v>
      </c>
      <c r="G111" s="41">
        <v>4969</v>
      </c>
      <c r="H111" s="41">
        <v>1199</v>
      </c>
      <c r="I111" s="41">
        <v>4252</v>
      </c>
      <c r="J111" s="41">
        <v>4183</v>
      </c>
      <c r="K111" s="41">
        <v>410</v>
      </c>
      <c r="L111" s="41">
        <v>7033</v>
      </c>
      <c r="M111" s="41">
        <v>1402</v>
      </c>
      <c r="N111" s="41">
        <v>8171</v>
      </c>
      <c r="O111" s="41">
        <v>264</v>
      </c>
      <c r="P111" s="41">
        <v>5733</v>
      </c>
      <c r="Q111" s="41">
        <v>4610</v>
      </c>
      <c r="R111" s="41">
        <v>3386</v>
      </c>
      <c r="S111" s="41">
        <v>0</v>
      </c>
      <c r="T111" s="41">
        <v>951</v>
      </c>
      <c r="U111" s="41">
        <v>5740</v>
      </c>
      <c r="V111" s="41">
        <v>941</v>
      </c>
      <c r="W111" s="41">
        <v>7</v>
      </c>
      <c r="X111" s="41">
        <v>7</v>
      </c>
      <c r="Y111" s="41">
        <v>12</v>
      </c>
      <c r="Z111" s="41">
        <v>27522</v>
      </c>
      <c r="AA111" s="41">
        <v>13041</v>
      </c>
      <c r="AB111" s="41">
        <v>8739</v>
      </c>
      <c r="AC111" s="41">
        <v>70</v>
      </c>
      <c r="AD111" s="41">
        <v>36</v>
      </c>
      <c r="AE111" s="41">
        <v>20</v>
      </c>
      <c r="AF111" s="41">
        <v>0</v>
      </c>
      <c r="AG111" s="41">
        <v>130</v>
      </c>
      <c r="AH111" s="41">
        <v>15</v>
      </c>
      <c r="AI111" s="41">
        <v>1</v>
      </c>
      <c r="AJ111" s="41">
        <v>3</v>
      </c>
      <c r="AK111" s="41">
        <v>5</v>
      </c>
      <c r="AL111" s="41">
        <v>2</v>
      </c>
      <c r="AM111" s="41">
        <v>4</v>
      </c>
      <c r="AN111" s="41">
        <v>3</v>
      </c>
      <c r="AO111" s="41">
        <v>21</v>
      </c>
      <c r="AP111" s="41">
        <v>5</v>
      </c>
      <c r="AQ111" s="41">
        <v>4</v>
      </c>
      <c r="AR111" s="41">
        <v>60</v>
      </c>
      <c r="AS111" s="41">
        <v>4</v>
      </c>
      <c r="AT111" s="41">
        <v>12</v>
      </c>
      <c r="AU111" s="41">
        <v>359</v>
      </c>
      <c r="AV111" s="41">
        <v>106</v>
      </c>
      <c r="AW111" s="41">
        <v>17</v>
      </c>
      <c r="AX111" s="41">
        <v>5</v>
      </c>
      <c r="AY111" s="41">
        <v>7</v>
      </c>
      <c r="AZ111" s="41">
        <v>2</v>
      </c>
      <c r="BA111" s="41">
        <v>0</v>
      </c>
      <c r="BB111" s="41">
        <v>6</v>
      </c>
      <c r="BC111" s="41">
        <v>1</v>
      </c>
      <c r="BD111" s="41">
        <v>1</v>
      </c>
      <c r="BE111" s="41">
        <v>1</v>
      </c>
      <c r="BF111" s="8">
        <f t="shared" si="10"/>
        <v>8435</v>
      </c>
      <c r="BG111" s="8">
        <f t="shared" si="11"/>
        <v>201</v>
      </c>
      <c r="BH111" s="8">
        <f t="shared" si="12"/>
        <v>14</v>
      </c>
      <c r="BI111" s="8">
        <f t="shared" si="13"/>
        <v>1</v>
      </c>
      <c r="BJ111" s="8">
        <f t="shared" si="14"/>
        <v>219</v>
      </c>
      <c r="BK111" s="41">
        <v>587</v>
      </c>
      <c r="BL111" s="41">
        <v>219</v>
      </c>
      <c r="BM111" s="41">
        <v>8713</v>
      </c>
      <c r="BN111" s="41">
        <v>2970</v>
      </c>
      <c r="BO111" s="41">
        <v>353</v>
      </c>
      <c r="BP111" s="41">
        <v>709</v>
      </c>
      <c r="BQ111" s="8">
        <f t="shared" si="9"/>
        <v>509</v>
      </c>
      <c r="BR111" s="8">
        <f t="shared" si="5"/>
        <v>166</v>
      </c>
      <c r="BS111" s="41">
        <v>231</v>
      </c>
      <c r="BT111" s="41">
        <v>112</v>
      </c>
      <c r="BU111" s="41">
        <v>102</v>
      </c>
      <c r="BV111" s="41">
        <v>33</v>
      </c>
      <c r="BW111" s="41">
        <v>31</v>
      </c>
    </row>
    <row r="112" spans="1:75" s="41" customFormat="1" x14ac:dyDescent="0.25">
      <c r="A112" s="40">
        <v>46082</v>
      </c>
      <c r="B112" s="41" t="s">
        <v>78</v>
      </c>
      <c r="C112" s="41">
        <v>1</v>
      </c>
      <c r="D112" s="42" t="s">
        <v>96</v>
      </c>
      <c r="E112" s="41">
        <v>1262</v>
      </c>
      <c r="F112" s="41">
        <v>1064</v>
      </c>
      <c r="G112" s="41">
        <v>5623</v>
      </c>
      <c r="H112" s="41">
        <v>1065</v>
      </c>
      <c r="I112" s="41">
        <v>4469</v>
      </c>
      <c r="J112" s="41">
        <v>4545</v>
      </c>
      <c r="K112" s="41">
        <v>464</v>
      </c>
      <c r="L112" s="41">
        <v>7121</v>
      </c>
      <c r="M112" s="41">
        <v>1893</v>
      </c>
      <c r="N112" s="41">
        <v>8888</v>
      </c>
      <c r="O112" s="41">
        <v>126</v>
      </c>
      <c r="P112" s="41">
        <v>6996</v>
      </c>
      <c r="Q112" s="41">
        <v>6258</v>
      </c>
      <c r="R112" s="41">
        <v>2714</v>
      </c>
      <c r="S112" s="41">
        <v>0</v>
      </c>
      <c r="T112" s="41">
        <v>537</v>
      </c>
      <c r="U112" s="41">
        <v>7103</v>
      </c>
      <c r="V112" s="41">
        <v>1095</v>
      </c>
      <c r="W112" s="41">
        <v>14</v>
      </c>
      <c r="X112" s="41">
        <v>7</v>
      </c>
      <c r="Y112" s="41">
        <v>17</v>
      </c>
      <c r="Z112" s="41">
        <v>28575</v>
      </c>
      <c r="AA112" s="41">
        <v>16016</v>
      </c>
      <c r="AB112" s="41">
        <v>9674</v>
      </c>
      <c r="AC112" s="41">
        <v>181</v>
      </c>
      <c r="AD112" s="41">
        <v>72</v>
      </c>
      <c r="AE112" s="41">
        <v>35</v>
      </c>
      <c r="AF112" s="41">
        <v>0</v>
      </c>
      <c r="AG112" s="41">
        <v>211</v>
      </c>
      <c r="AH112" s="41">
        <v>20</v>
      </c>
      <c r="AI112" s="41">
        <v>0</v>
      </c>
      <c r="AJ112" s="41">
        <v>2</v>
      </c>
      <c r="AK112" s="41">
        <v>2</v>
      </c>
      <c r="AL112" s="41">
        <v>1</v>
      </c>
      <c r="AM112" s="41">
        <v>8</v>
      </c>
      <c r="AN112" s="41">
        <v>11</v>
      </c>
      <c r="AO112" s="41">
        <v>42</v>
      </c>
      <c r="AP112" s="41">
        <v>9</v>
      </c>
      <c r="AQ112" s="41">
        <v>1</v>
      </c>
      <c r="AR112" s="41">
        <v>34</v>
      </c>
      <c r="AS112" s="41">
        <v>10</v>
      </c>
      <c r="AT112" s="41">
        <v>26</v>
      </c>
      <c r="AU112" s="41">
        <v>637</v>
      </c>
      <c r="AV112" s="41">
        <v>200</v>
      </c>
      <c r="AW112" s="41">
        <v>7</v>
      </c>
      <c r="AX112" s="41">
        <v>17</v>
      </c>
      <c r="AY112" s="41">
        <v>5</v>
      </c>
      <c r="AZ112" s="41">
        <v>0</v>
      </c>
      <c r="BA112" s="41">
        <v>1</v>
      </c>
      <c r="BB112" s="41">
        <v>11</v>
      </c>
      <c r="BC112" s="41">
        <v>0</v>
      </c>
      <c r="BD112" s="41">
        <v>12</v>
      </c>
      <c r="BE112" s="41">
        <v>1</v>
      </c>
      <c r="BF112" s="8">
        <f t="shared" si="10"/>
        <v>9014</v>
      </c>
      <c r="BG112" s="8">
        <f t="shared" si="11"/>
        <v>338</v>
      </c>
      <c r="BH112" s="8">
        <f t="shared" si="12"/>
        <v>13</v>
      </c>
      <c r="BI112" s="8">
        <f t="shared" si="13"/>
        <v>0</v>
      </c>
      <c r="BJ112" s="8">
        <f t="shared" si="14"/>
        <v>362</v>
      </c>
      <c r="BK112" s="41">
        <v>807</v>
      </c>
      <c r="BL112" s="41">
        <v>228</v>
      </c>
      <c r="BM112" s="41">
        <v>9775</v>
      </c>
      <c r="BN112" s="41">
        <v>3885</v>
      </c>
      <c r="BO112" s="41">
        <v>384</v>
      </c>
      <c r="BP112" s="41">
        <v>839</v>
      </c>
      <c r="BQ112" s="8">
        <f t="shared" si="9"/>
        <v>538</v>
      </c>
      <c r="BR112" s="8">
        <f t="shared" si="5"/>
        <v>295</v>
      </c>
      <c r="BS112" s="41">
        <v>250</v>
      </c>
      <c r="BT112" s="41">
        <v>59</v>
      </c>
      <c r="BU112" s="41">
        <v>119</v>
      </c>
      <c r="BV112" s="41">
        <v>35</v>
      </c>
      <c r="BW112" s="41">
        <v>75</v>
      </c>
    </row>
    <row r="113" spans="1:75" s="41" customFormat="1" x14ac:dyDescent="0.25">
      <c r="A113" s="40">
        <v>46113</v>
      </c>
      <c r="B113" s="41" t="s">
        <v>79</v>
      </c>
      <c r="C113" s="41">
        <v>1</v>
      </c>
      <c r="D113" s="42" t="s">
        <v>96</v>
      </c>
      <c r="E113" s="41">
        <v>1209</v>
      </c>
      <c r="F113" s="41">
        <v>1066</v>
      </c>
      <c r="G113" s="41">
        <v>4580</v>
      </c>
      <c r="H113" s="41">
        <v>1213</v>
      </c>
      <c r="I113" s="41">
        <v>4137</v>
      </c>
      <c r="J113" s="41">
        <v>3931</v>
      </c>
      <c r="K113" s="41">
        <v>739</v>
      </c>
      <c r="L113" s="41">
        <v>7709</v>
      </c>
      <c r="M113" s="41">
        <v>359</v>
      </c>
      <c r="N113" s="41">
        <v>7680</v>
      </c>
      <c r="O113" s="41">
        <v>388</v>
      </c>
      <c r="P113" s="41">
        <v>6879</v>
      </c>
      <c r="Q113" s="41">
        <v>4790</v>
      </c>
      <c r="R113" s="41">
        <v>6518</v>
      </c>
      <c r="S113" s="41">
        <v>47</v>
      </c>
      <c r="T113" s="41">
        <v>955</v>
      </c>
      <c r="U113" s="41">
        <v>6143</v>
      </c>
      <c r="V113" s="41">
        <v>1007</v>
      </c>
      <c r="W113" s="41">
        <v>28</v>
      </c>
      <c r="X113" s="41">
        <v>13</v>
      </c>
      <c r="Y113" s="41">
        <v>11</v>
      </c>
      <c r="Z113" s="41">
        <v>26989</v>
      </c>
      <c r="AA113" s="41">
        <v>14533</v>
      </c>
      <c r="AB113" s="41">
        <v>6376</v>
      </c>
      <c r="AC113" s="41">
        <v>217</v>
      </c>
      <c r="AD113" s="41">
        <v>61</v>
      </c>
      <c r="AE113" s="41">
        <v>26</v>
      </c>
      <c r="AF113" s="41">
        <v>1</v>
      </c>
      <c r="AG113" s="41">
        <v>219</v>
      </c>
      <c r="AH113" s="41">
        <v>10</v>
      </c>
      <c r="AI113" s="41">
        <v>3</v>
      </c>
      <c r="AJ113" s="41">
        <v>7</v>
      </c>
      <c r="AK113" s="41">
        <v>6</v>
      </c>
      <c r="AL113" s="41">
        <v>2</v>
      </c>
      <c r="AM113" s="41">
        <v>0</v>
      </c>
      <c r="AN113" s="41">
        <v>22</v>
      </c>
      <c r="AO113" s="41">
        <v>51</v>
      </c>
      <c r="AP113" s="41">
        <v>12</v>
      </c>
      <c r="AQ113" s="41">
        <v>4</v>
      </c>
      <c r="AR113" s="41">
        <v>60</v>
      </c>
      <c r="AS113" s="41">
        <v>10</v>
      </c>
      <c r="AT113" s="41">
        <v>14</v>
      </c>
      <c r="AU113" s="41">
        <v>915</v>
      </c>
      <c r="AV113" s="41">
        <v>241</v>
      </c>
      <c r="AW113" s="41">
        <v>28</v>
      </c>
      <c r="AX113" s="41">
        <v>10</v>
      </c>
      <c r="AY113" s="41">
        <v>15</v>
      </c>
      <c r="AZ113" s="41">
        <v>3</v>
      </c>
      <c r="BA113" s="41">
        <v>3</v>
      </c>
      <c r="BB113" s="41">
        <v>9</v>
      </c>
      <c r="BC113" s="41">
        <v>4</v>
      </c>
      <c r="BD113" s="41">
        <v>9</v>
      </c>
      <c r="BE113" s="41">
        <v>5</v>
      </c>
      <c r="BF113" s="8">
        <f t="shared" si="10"/>
        <v>8068</v>
      </c>
      <c r="BG113" s="8">
        <f t="shared" si="11"/>
        <v>317</v>
      </c>
      <c r="BH113" s="8">
        <f t="shared" si="12"/>
        <v>15</v>
      </c>
      <c r="BI113" s="8">
        <f t="shared" si="13"/>
        <v>3</v>
      </c>
      <c r="BJ113" s="8">
        <f t="shared" si="14"/>
        <v>357</v>
      </c>
      <c r="BK113" s="41">
        <v>803</v>
      </c>
      <c r="BL113" s="41">
        <v>215</v>
      </c>
      <c r="BM113" s="41">
        <v>10195</v>
      </c>
      <c r="BN113" s="41">
        <v>3546</v>
      </c>
      <c r="BO113" s="41">
        <v>392</v>
      </c>
      <c r="BP113" s="41">
        <v>840</v>
      </c>
      <c r="BQ113" s="8">
        <f t="shared" si="9"/>
        <v>432</v>
      </c>
      <c r="BR113" s="8">
        <f t="shared" si="5"/>
        <v>373</v>
      </c>
      <c r="BS113" s="41">
        <v>229</v>
      </c>
      <c r="BT113" s="41">
        <v>42</v>
      </c>
      <c r="BU113" s="41">
        <v>100</v>
      </c>
      <c r="BV113" s="41">
        <v>25</v>
      </c>
      <c r="BW113" s="41">
        <v>36</v>
      </c>
    </row>
    <row r="114" spans="1:75" s="44" customFormat="1" x14ac:dyDescent="0.25">
      <c r="A114" s="43">
        <v>46143</v>
      </c>
      <c r="B114" s="44" t="s">
        <v>80</v>
      </c>
      <c r="C114" s="44">
        <v>2</v>
      </c>
      <c r="D114" s="45" t="s">
        <v>96</v>
      </c>
      <c r="BF114" s="8">
        <f t="shared" si="10"/>
        <v>0</v>
      </c>
      <c r="BG114" s="8">
        <f t="shared" si="11"/>
        <v>0</v>
      </c>
      <c r="BH114" s="8">
        <f t="shared" si="12"/>
        <v>0</v>
      </c>
      <c r="BI114" s="8">
        <f t="shared" si="13"/>
        <v>0</v>
      </c>
      <c r="BJ114" s="8">
        <f t="shared" si="14"/>
        <v>0</v>
      </c>
      <c r="BQ114" s="8">
        <f t="shared" si="9"/>
        <v>0</v>
      </c>
      <c r="BR114" s="8">
        <f t="shared" si="5"/>
        <v>0</v>
      </c>
    </row>
    <row r="115" spans="1:75" s="44" customFormat="1" x14ac:dyDescent="0.25">
      <c r="A115" s="43">
        <v>46174</v>
      </c>
      <c r="B115" s="44" t="s">
        <v>81</v>
      </c>
      <c r="C115" s="44">
        <v>2</v>
      </c>
      <c r="D115" s="45" t="s">
        <v>96</v>
      </c>
      <c r="BF115" s="8">
        <f t="shared" si="10"/>
        <v>0</v>
      </c>
      <c r="BG115" s="8">
        <f t="shared" si="11"/>
        <v>0</v>
      </c>
      <c r="BH115" s="8">
        <f t="shared" si="12"/>
        <v>0</v>
      </c>
      <c r="BI115" s="8">
        <f t="shared" si="13"/>
        <v>0</v>
      </c>
      <c r="BJ115" s="8">
        <f t="shared" si="14"/>
        <v>0</v>
      </c>
      <c r="BQ115" s="8">
        <f t="shared" si="9"/>
        <v>0</v>
      </c>
      <c r="BR115" s="8">
        <f t="shared" ref="BR115:BR126" si="15">AV115+AW115+AX115+AY115+AZ115+BA115+BB115+BC115+BD115+AO115</f>
        <v>0</v>
      </c>
    </row>
    <row r="116" spans="1:75" s="44" customFormat="1" x14ac:dyDescent="0.25">
      <c r="A116" s="43">
        <v>46204</v>
      </c>
      <c r="B116" s="44" t="s">
        <v>82</v>
      </c>
      <c r="C116" s="44">
        <v>2</v>
      </c>
      <c r="D116" s="45" t="s">
        <v>96</v>
      </c>
      <c r="BF116" s="8">
        <f t="shared" si="10"/>
        <v>0</v>
      </c>
      <c r="BG116" s="8">
        <f t="shared" si="11"/>
        <v>0</v>
      </c>
      <c r="BH116" s="8">
        <f t="shared" si="12"/>
        <v>0</v>
      </c>
      <c r="BI116" s="8">
        <f t="shared" si="13"/>
        <v>0</v>
      </c>
      <c r="BJ116" s="8">
        <f t="shared" si="14"/>
        <v>0</v>
      </c>
      <c r="BQ116" s="8">
        <f t="shared" si="9"/>
        <v>0</v>
      </c>
      <c r="BR116" s="8">
        <f t="shared" si="15"/>
        <v>0</v>
      </c>
    </row>
    <row r="117" spans="1:75" s="44" customFormat="1" x14ac:dyDescent="0.25">
      <c r="A117" s="43">
        <v>46235</v>
      </c>
      <c r="B117" s="44" t="s">
        <v>83</v>
      </c>
      <c r="C117" s="44">
        <v>2</v>
      </c>
      <c r="D117" s="45" t="s">
        <v>96</v>
      </c>
      <c r="BF117" s="8">
        <f t="shared" si="10"/>
        <v>0</v>
      </c>
      <c r="BG117" s="8">
        <f t="shared" si="11"/>
        <v>0</v>
      </c>
      <c r="BH117" s="8">
        <f t="shared" si="12"/>
        <v>0</v>
      </c>
      <c r="BI117" s="8">
        <f t="shared" si="13"/>
        <v>0</v>
      </c>
      <c r="BJ117" s="8">
        <f t="shared" si="14"/>
        <v>0</v>
      </c>
      <c r="BQ117" s="8">
        <f t="shared" si="9"/>
        <v>0</v>
      </c>
      <c r="BR117" s="8">
        <f t="shared" si="15"/>
        <v>0</v>
      </c>
    </row>
    <row r="118" spans="1:75" s="47" customFormat="1" x14ac:dyDescent="0.25">
      <c r="A118" s="46">
        <v>46266</v>
      </c>
      <c r="B118" s="47" t="s">
        <v>84</v>
      </c>
      <c r="C118" s="47">
        <v>3</v>
      </c>
      <c r="D118" s="48" t="s">
        <v>96</v>
      </c>
      <c r="BF118" s="8">
        <f t="shared" si="10"/>
        <v>0</v>
      </c>
      <c r="BG118" s="8">
        <f t="shared" si="11"/>
        <v>0</v>
      </c>
      <c r="BH118" s="8">
        <f t="shared" si="12"/>
        <v>0</v>
      </c>
      <c r="BI118" s="8">
        <f t="shared" si="13"/>
        <v>0</v>
      </c>
      <c r="BJ118" s="8">
        <f t="shared" si="14"/>
        <v>0</v>
      </c>
      <c r="BQ118" s="8">
        <f t="shared" si="9"/>
        <v>0</v>
      </c>
      <c r="BR118" s="8">
        <f t="shared" si="15"/>
        <v>0</v>
      </c>
    </row>
    <row r="119" spans="1:75" s="47" customFormat="1" x14ac:dyDescent="0.25">
      <c r="A119" s="46">
        <v>46296</v>
      </c>
      <c r="B119" s="47" t="s">
        <v>85</v>
      </c>
      <c r="C119" s="47">
        <v>3</v>
      </c>
      <c r="D119" s="48" t="s">
        <v>96</v>
      </c>
      <c r="BF119" s="8">
        <f t="shared" si="10"/>
        <v>0</v>
      </c>
      <c r="BG119" s="8">
        <f t="shared" si="11"/>
        <v>0</v>
      </c>
      <c r="BH119" s="8">
        <f t="shared" si="12"/>
        <v>0</v>
      </c>
      <c r="BI119" s="8">
        <f t="shared" si="13"/>
        <v>0</v>
      </c>
      <c r="BJ119" s="8">
        <f t="shared" si="14"/>
        <v>0</v>
      </c>
      <c r="BQ119" s="8">
        <f t="shared" si="9"/>
        <v>0</v>
      </c>
      <c r="BR119" s="8">
        <f t="shared" si="15"/>
        <v>0</v>
      </c>
    </row>
    <row r="120" spans="1:75" s="47" customFormat="1" x14ac:dyDescent="0.25">
      <c r="A120" s="46">
        <v>46327</v>
      </c>
      <c r="B120" s="47" t="s">
        <v>86</v>
      </c>
      <c r="C120" s="47">
        <v>3</v>
      </c>
      <c r="D120" s="48" t="s">
        <v>96</v>
      </c>
      <c r="BF120" s="8">
        <f t="shared" si="10"/>
        <v>0</v>
      </c>
      <c r="BG120" s="8">
        <f t="shared" si="11"/>
        <v>0</v>
      </c>
      <c r="BH120" s="8">
        <f t="shared" si="12"/>
        <v>0</v>
      </c>
      <c r="BI120" s="8">
        <f t="shared" si="13"/>
        <v>0</v>
      </c>
      <c r="BJ120" s="8">
        <f t="shared" si="14"/>
        <v>0</v>
      </c>
      <c r="BQ120" s="8">
        <f t="shared" si="9"/>
        <v>0</v>
      </c>
      <c r="BR120" s="8">
        <f t="shared" si="15"/>
        <v>0</v>
      </c>
    </row>
    <row r="121" spans="1:75" s="47" customFormat="1" x14ac:dyDescent="0.25">
      <c r="A121" s="46">
        <v>46357</v>
      </c>
      <c r="B121" s="47" t="s">
        <v>87</v>
      </c>
      <c r="C121" s="47">
        <v>3</v>
      </c>
      <c r="D121" s="48" t="s">
        <v>96</v>
      </c>
      <c r="BF121" s="8">
        <f t="shared" si="10"/>
        <v>0</v>
      </c>
      <c r="BG121" s="8">
        <f t="shared" si="11"/>
        <v>0</v>
      </c>
      <c r="BH121" s="8">
        <f t="shared" si="12"/>
        <v>0</v>
      </c>
      <c r="BI121" s="8">
        <f t="shared" si="13"/>
        <v>0</v>
      </c>
      <c r="BJ121" s="8">
        <f t="shared" si="14"/>
        <v>0</v>
      </c>
      <c r="BQ121" s="8">
        <f t="shared" si="9"/>
        <v>0</v>
      </c>
      <c r="BR121" s="8">
        <f t="shared" si="15"/>
        <v>0</v>
      </c>
    </row>
  </sheetData>
  <pageMargins left="0.511811024" right="0.511811024" top="0.78740157499999996" bottom="0.78740157499999996" header="0.31496062000000002" footer="0.3149606200000000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ANUAL IMPORTADO PRO PBI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UPA III Castanhal</dc:creator>
  <cp:lastModifiedBy>UPA III Castanhal</cp:lastModifiedBy>
  <dcterms:created xsi:type="dcterms:W3CDTF">2026-05-20T13:53:12Z</dcterms:created>
  <dcterms:modified xsi:type="dcterms:W3CDTF">2026-05-20T13:53:55Z</dcterms:modified>
</cp:coreProperties>
</file>